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youknights-my.sharepoint.com/personal/luuk_swinkels_youknights_nl/Documents/Documents/Prive/"/>
    </mc:Choice>
  </mc:AlternateContent>
  <xr:revisionPtr revIDLastSave="1435" documentId="8_{1A035FF7-F2A7-4628-BAB1-B79AA35CE06D}" xr6:coauthVersionLast="47" xr6:coauthVersionMax="47" xr10:uidLastSave="{F0DBE735-7628-4E9F-B937-C486D282C9CE}"/>
  <bookViews>
    <workbookView xWindow="-108" yWindow="-108" windowWidth="23256" windowHeight="13896" firstSheet="1" activeTab="4" xr2:uid="{983E720C-2F68-4776-8290-C6996FC60808}"/>
  </bookViews>
  <sheets>
    <sheet name="Opzet" sheetId="1" state="hidden" r:id="rId1"/>
    <sheet name="RFF" sheetId="2" r:id="rId2"/>
    <sheet name="Propositie" sheetId="3" r:id="rId3"/>
    <sheet name="Ideale klant" sheetId="4" r:id="rId4"/>
    <sheet name="Pakketten" sheetId="5" r:id="rId5"/>
    <sheet name="OPEX" sheetId="6" r:id="rId6"/>
    <sheet name="Blad1"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23" i="2" l="1"/>
  <c r="N223" i="2"/>
  <c r="M223" i="2"/>
  <c r="L223" i="2"/>
  <c r="K223" i="2"/>
  <c r="J223" i="2"/>
  <c r="I223" i="2"/>
  <c r="H223" i="2"/>
  <c r="G223" i="2"/>
  <c r="F223" i="2"/>
  <c r="E223" i="2"/>
  <c r="D223" i="2"/>
  <c r="AB223" i="2"/>
  <c r="AA223" i="2"/>
  <c r="Z223" i="2"/>
  <c r="Y223" i="2"/>
  <c r="X223" i="2"/>
  <c r="W223" i="2"/>
  <c r="V223" i="2"/>
  <c r="U223" i="2"/>
  <c r="T223" i="2"/>
  <c r="S223" i="2"/>
  <c r="R223" i="2"/>
  <c r="Q223" i="2"/>
  <c r="AE223" i="2"/>
  <c r="AF223" i="2"/>
  <c r="AG223" i="2"/>
  <c r="AH223" i="2"/>
  <c r="AI223" i="2"/>
  <c r="AJ223" i="2"/>
  <c r="AK223" i="2"/>
  <c r="AL223" i="2"/>
  <c r="AM223" i="2"/>
  <c r="AN223" i="2"/>
  <c r="AO223" i="2"/>
  <c r="AD223" i="2"/>
  <c r="AD47" i="6"/>
  <c r="AD48" i="6"/>
  <c r="AD49" i="6"/>
  <c r="AD50" i="6"/>
  <c r="AB50" i="6"/>
  <c r="AA50" i="6"/>
  <c r="Z50" i="6"/>
  <c r="Y50" i="6"/>
  <c r="X50" i="6"/>
  <c r="W50" i="6"/>
  <c r="V50" i="6"/>
  <c r="U50" i="6"/>
  <c r="T50" i="6"/>
  <c r="S50" i="6"/>
  <c r="R50" i="6"/>
  <c r="Q50" i="6"/>
  <c r="Q49" i="6"/>
  <c r="Q48" i="6"/>
  <c r="Q47" i="6"/>
  <c r="AD46" i="6"/>
  <c r="Q46" i="6"/>
  <c r="AD57" i="6"/>
  <c r="Q57" i="6"/>
  <c r="AD56" i="6"/>
  <c r="Q56" i="6"/>
  <c r="AD55" i="6"/>
  <c r="Q55" i="6"/>
  <c r="AD54" i="6"/>
  <c r="Q54" i="6"/>
  <c r="AD53" i="6"/>
  <c r="Q53" i="6"/>
  <c r="D13" i="2"/>
  <c r="E13" i="2" s="1"/>
  <c r="F13" i="2" s="1"/>
  <c r="G13" i="2" s="1"/>
  <c r="H13" i="2" s="1"/>
  <c r="I13" i="2" s="1"/>
  <c r="J13" i="2" s="1"/>
  <c r="K13" i="2" s="1"/>
  <c r="L13" i="2" s="1"/>
  <c r="M13" i="2" s="1"/>
  <c r="N13" i="2" s="1"/>
  <c r="O13" i="2" s="1"/>
  <c r="Q13" i="2" s="1"/>
  <c r="D12" i="2"/>
  <c r="E12" i="2" s="1"/>
  <c r="F12" i="2" s="1"/>
  <c r="G12" i="2" s="1"/>
  <c r="H12" i="2" s="1"/>
  <c r="I12" i="2" s="1"/>
  <c r="J12" i="2" s="1"/>
  <c r="K12" i="2" s="1"/>
  <c r="L12" i="2" s="1"/>
  <c r="M12" i="2" s="1"/>
  <c r="N12" i="2" s="1"/>
  <c r="O12" i="2" s="1"/>
  <c r="Q12" i="2" s="1"/>
  <c r="D11" i="2"/>
  <c r="E11" i="2" s="1"/>
  <c r="F11" i="2" s="1"/>
  <c r="G11" i="2" s="1"/>
  <c r="H11" i="2" s="1"/>
  <c r="I11" i="2" s="1"/>
  <c r="J11" i="2" s="1"/>
  <c r="K11" i="2" s="1"/>
  <c r="L11" i="2" s="1"/>
  <c r="M11" i="2" s="1"/>
  <c r="N11" i="2" s="1"/>
  <c r="O11" i="2" s="1"/>
  <c r="Q11" i="2" s="1"/>
  <c r="N25" i="2" l="1"/>
  <c r="O25" i="2" s="1"/>
  <c r="U20" i="2"/>
  <c r="AD42" i="6"/>
  <c r="G7" i="7"/>
  <c r="J7" i="7" l="1"/>
  <c r="H6" i="7"/>
  <c r="J6" i="7" s="1"/>
  <c r="J5" i="7"/>
  <c r="F5" i="7"/>
  <c r="H4" i="7"/>
  <c r="J4" i="7" s="1"/>
  <c r="I4" i="7"/>
  <c r="E4" i="7"/>
  <c r="H3" i="7"/>
  <c r="J3" i="7" s="1"/>
  <c r="J36" i="6"/>
  <c r="O15" i="2"/>
  <c r="O73" i="2" s="1"/>
  <c r="U22" i="5"/>
  <c r="M22" i="5"/>
  <c r="E25" i="5"/>
  <c r="E22" i="5"/>
  <c r="AP77" i="2"/>
  <c r="AC77" i="2"/>
  <c r="P77" i="2"/>
  <c r="A77" i="2"/>
  <c r="A78" i="2"/>
  <c r="AO209" i="2"/>
  <c r="AN209" i="2"/>
  <c r="AM209" i="2"/>
  <c r="AL209" i="2"/>
  <c r="AK209" i="2"/>
  <c r="AJ209" i="2"/>
  <c r="AI209" i="2"/>
  <c r="AH209" i="2"/>
  <c r="AG209" i="2"/>
  <c r="AF209" i="2"/>
  <c r="AE209" i="2"/>
  <c r="AD209" i="2"/>
  <c r="AP204" i="2"/>
  <c r="AP203" i="2"/>
  <c r="AP199" i="2"/>
  <c r="AP160" i="2"/>
  <c r="AO160" i="2"/>
  <c r="AN160" i="2"/>
  <c r="AM160" i="2"/>
  <c r="AL160" i="2"/>
  <c r="AK160" i="2"/>
  <c r="AJ160" i="2"/>
  <c r="AI160" i="2"/>
  <c r="AH160" i="2"/>
  <c r="AG160" i="2"/>
  <c r="AF160" i="2"/>
  <c r="AE160" i="2"/>
  <c r="AD160" i="2"/>
  <c r="R209" i="2"/>
  <c r="Q160" i="2"/>
  <c r="Q209" i="2"/>
  <c r="AC160" i="2"/>
  <c r="AC204" i="2"/>
  <c r="AC203" i="2"/>
  <c r="AC199" i="2"/>
  <c r="T209" i="2"/>
  <c r="U209" i="2"/>
  <c r="V209" i="2"/>
  <c r="W209" i="2"/>
  <c r="X209" i="2"/>
  <c r="Y209" i="2"/>
  <c r="Z209" i="2"/>
  <c r="AA209" i="2"/>
  <c r="AB209" i="2"/>
  <c r="T160" i="2"/>
  <c r="U160" i="2"/>
  <c r="V160" i="2"/>
  <c r="W160" i="2"/>
  <c r="X160" i="2"/>
  <c r="Y160" i="2"/>
  <c r="Z160" i="2"/>
  <c r="AA160" i="2"/>
  <c r="AB160" i="2"/>
  <c r="S209" i="2"/>
  <c r="S160" i="2"/>
  <c r="R160" i="2"/>
  <c r="D197" i="2"/>
  <c r="D110" i="2"/>
  <c r="E136" i="2"/>
  <c r="E110" i="2" s="1"/>
  <c r="Q63" i="6"/>
  <c r="AH24" i="2"/>
  <c r="AH27" i="2"/>
  <c r="AE24" i="2"/>
  <c r="AG20" i="6"/>
  <c r="AH21" i="2"/>
  <c r="AD68" i="6"/>
  <c r="AE68" i="6" s="1"/>
  <c r="AF68" i="6" s="1"/>
  <c r="AG68" i="6" s="1"/>
  <c r="AH68" i="6" s="1"/>
  <c r="AI68" i="6" s="1"/>
  <c r="AJ68" i="6" s="1"/>
  <c r="AK68" i="6" s="1"/>
  <c r="AL68" i="6" s="1"/>
  <c r="AM68" i="6" s="1"/>
  <c r="AN68" i="6" s="1"/>
  <c r="AO68" i="6" s="1"/>
  <c r="AD67" i="6"/>
  <c r="AE67" i="6" s="1"/>
  <c r="AF67" i="6" s="1"/>
  <c r="AG67" i="6" s="1"/>
  <c r="AH67" i="6" s="1"/>
  <c r="AI67" i="6" s="1"/>
  <c r="AJ67" i="6" s="1"/>
  <c r="AK67" i="6" s="1"/>
  <c r="AL67" i="6" s="1"/>
  <c r="AM67" i="6" s="1"/>
  <c r="AN67" i="6" s="1"/>
  <c r="AO67" i="6" s="1"/>
  <c r="AD66" i="6"/>
  <c r="AE66" i="6" s="1"/>
  <c r="AF66" i="6" s="1"/>
  <c r="AG66" i="6" s="1"/>
  <c r="AH66" i="6" s="1"/>
  <c r="AI66" i="6" s="1"/>
  <c r="AJ66" i="6" s="1"/>
  <c r="AK66" i="6" s="1"/>
  <c r="AL66" i="6" s="1"/>
  <c r="AM66" i="6" s="1"/>
  <c r="AN66" i="6" s="1"/>
  <c r="AO66" i="6" s="1"/>
  <c r="AE65" i="6"/>
  <c r="AF65" i="6" s="1"/>
  <c r="AG65" i="6" s="1"/>
  <c r="AH65" i="6" s="1"/>
  <c r="AI65" i="6" s="1"/>
  <c r="AJ65" i="6" s="1"/>
  <c r="AK65" i="6" s="1"/>
  <c r="AL65" i="6" s="1"/>
  <c r="AM65" i="6" s="1"/>
  <c r="AN65" i="6" s="1"/>
  <c r="AO65" i="6" s="1"/>
  <c r="AD65" i="6"/>
  <c r="AD64" i="6"/>
  <c r="AE64" i="6" s="1"/>
  <c r="AF64" i="6" s="1"/>
  <c r="AG64" i="6" s="1"/>
  <c r="AH64" i="6" s="1"/>
  <c r="AI64" i="6" s="1"/>
  <c r="AJ64" i="6" s="1"/>
  <c r="AK64" i="6" s="1"/>
  <c r="AL64" i="6" s="1"/>
  <c r="AM64" i="6" s="1"/>
  <c r="AN64" i="6" s="1"/>
  <c r="AO64" i="6" s="1"/>
  <c r="AD62" i="6"/>
  <c r="AE42" i="6"/>
  <c r="AG24" i="6"/>
  <c r="AD24" i="6"/>
  <c r="AG21" i="6"/>
  <c r="AD21" i="6"/>
  <c r="AD20" i="6"/>
  <c r="AD19" i="6"/>
  <c r="AG18" i="6"/>
  <c r="AD17" i="6"/>
  <c r="AP119" i="2"/>
  <c r="AO119" i="2"/>
  <c r="AO186" i="2" s="1"/>
  <c r="AN119" i="2"/>
  <c r="AN186" i="2" s="1"/>
  <c r="AM119" i="2"/>
  <c r="AM186" i="2" s="1"/>
  <c r="AL119" i="2"/>
  <c r="AL186" i="2" s="1"/>
  <c r="AK119" i="2"/>
  <c r="AK186" i="2" s="1"/>
  <c r="AJ119" i="2"/>
  <c r="AJ186" i="2" s="1"/>
  <c r="AI119" i="2"/>
  <c r="AI186" i="2" s="1"/>
  <c r="AH119" i="2"/>
  <c r="AH186" i="2" s="1"/>
  <c r="AG119" i="2"/>
  <c r="AG186" i="2" s="1"/>
  <c r="AF119" i="2"/>
  <c r="AF186" i="2" s="1"/>
  <c r="AE119" i="2"/>
  <c r="AE186" i="2" s="1"/>
  <c r="AD119" i="2"/>
  <c r="AD186" i="2" s="1"/>
  <c r="AE27" i="2"/>
  <c r="AE23" i="2"/>
  <c r="AE22" i="2"/>
  <c r="AE20" i="2"/>
  <c r="AE4" i="2"/>
  <c r="AF4" i="2" s="1"/>
  <c r="AG4" i="2" s="1"/>
  <c r="AH4" i="2" s="1"/>
  <c r="AI4" i="2" s="1"/>
  <c r="AJ4" i="2" s="1"/>
  <c r="AK4" i="2" s="1"/>
  <c r="AL4" i="2" s="1"/>
  <c r="AM4" i="2" s="1"/>
  <c r="AN4" i="2" s="1"/>
  <c r="AO4" i="2" s="1"/>
  <c r="AE3" i="2"/>
  <c r="AF3" i="2" s="1"/>
  <c r="AG3" i="2" s="1"/>
  <c r="AH3" i="2" s="1"/>
  <c r="AI3" i="2" s="1"/>
  <c r="AJ3" i="2" s="1"/>
  <c r="AK3" i="2" s="1"/>
  <c r="AL3" i="2" s="1"/>
  <c r="AM3" i="2" s="1"/>
  <c r="AN3" i="2" s="1"/>
  <c r="AO3" i="2" s="1"/>
  <c r="AP3" i="2" s="1"/>
  <c r="AE2" i="2"/>
  <c r="AF2" i="2" s="1"/>
  <c r="AG2" i="2" s="1"/>
  <c r="AH2" i="2" s="1"/>
  <c r="AI2" i="2" s="1"/>
  <c r="AJ2" i="2" s="1"/>
  <c r="AK2" i="2" s="1"/>
  <c r="AL2" i="2" s="1"/>
  <c r="AM2" i="2" s="1"/>
  <c r="AN2" i="2" s="1"/>
  <c r="AO2" i="2" s="1"/>
  <c r="AP2" i="2" s="1"/>
  <c r="AP1" i="2"/>
  <c r="AO1" i="2"/>
  <c r="AN1" i="2"/>
  <c r="AM1" i="2"/>
  <c r="AL1" i="2"/>
  <c r="AK1" i="2"/>
  <c r="AJ1" i="2"/>
  <c r="AI1" i="2"/>
  <c r="AH1" i="2"/>
  <c r="AG1" i="2"/>
  <c r="AF1" i="2"/>
  <c r="AE1" i="2"/>
  <c r="AD1" i="2"/>
  <c r="P204" i="2"/>
  <c r="P203" i="2"/>
  <c r="P199" i="2"/>
  <c r="P207" i="2"/>
  <c r="AC207" i="2" s="1"/>
  <c r="AP207" i="2" s="1"/>
  <c r="P206" i="2"/>
  <c r="AC206" i="2" s="1"/>
  <c r="AP206" i="2" s="1"/>
  <c r="P205" i="2"/>
  <c r="AC205" i="2" s="1"/>
  <c r="AP205" i="2" s="1"/>
  <c r="P193" i="2"/>
  <c r="AC193" i="2" s="1"/>
  <c r="AP193" i="2" s="1"/>
  <c r="P160" i="2"/>
  <c r="D152" i="2"/>
  <c r="E152" i="2" s="1"/>
  <c r="F152" i="2" s="1"/>
  <c r="D209" i="2"/>
  <c r="E209" i="2"/>
  <c r="F209" i="2"/>
  <c r="G209" i="2"/>
  <c r="H209" i="2"/>
  <c r="I209" i="2"/>
  <c r="J209" i="2"/>
  <c r="K209" i="2"/>
  <c r="L209" i="2"/>
  <c r="M209" i="2"/>
  <c r="N209" i="2"/>
  <c r="O209" i="2"/>
  <c r="D160" i="2"/>
  <c r="E160" i="2"/>
  <c r="F160" i="2"/>
  <c r="G160" i="2"/>
  <c r="H160" i="2"/>
  <c r="I160" i="2"/>
  <c r="J160" i="2"/>
  <c r="K160" i="2"/>
  <c r="L160" i="2"/>
  <c r="M160" i="2"/>
  <c r="N160" i="2"/>
  <c r="O160" i="2"/>
  <c r="D153" i="2"/>
  <c r="E153" i="2" s="1"/>
  <c r="C146" i="2"/>
  <c r="E132" i="2"/>
  <c r="D109" i="2"/>
  <c r="C204" i="2"/>
  <c r="C203" i="2"/>
  <c r="C201" i="2"/>
  <c r="D119" i="2"/>
  <c r="D186" i="2" s="1"/>
  <c r="E119" i="2"/>
  <c r="E186" i="2" s="1"/>
  <c r="F119" i="2"/>
  <c r="F186" i="2" s="1"/>
  <c r="G119" i="2"/>
  <c r="G186" i="2" s="1"/>
  <c r="H119" i="2"/>
  <c r="H186" i="2" s="1"/>
  <c r="I119" i="2"/>
  <c r="I186" i="2" s="1"/>
  <c r="J119" i="2"/>
  <c r="J186" i="2" s="1"/>
  <c r="K119" i="2"/>
  <c r="K186" i="2" s="1"/>
  <c r="L119" i="2"/>
  <c r="L186" i="2" s="1"/>
  <c r="M119" i="2"/>
  <c r="M186" i="2" s="1"/>
  <c r="N119" i="2"/>
  <c r="N186" i="2" s="1"/>
  <c r="O119" i="2"/>
  <c r="O186" i="2" s="1"/>
  <c r="P119" i="2"/>
  <c r="Q119" i="2"/>
  <c r="Q186" i="2" s="1"/>
  <c r="R119" i="2"/>
  <c r="R186" i="2" s="1"/>
  <c r="S119" i="2"/>
  <c r="S186" i="2" s="1"/>
  <c r="T119" i="2"/>
  <c r="T186" i="2" s="1"/>
  <c r="U119" i="2"/>
  <c r="U186" i="2" s="1"/>
  <c r="V119" i="2"/>
  <c r="V186" i="2" s="1"/>
  <c r="W119" i="2"/>
  <c r="W186" i="2" s="1"/>
  <c r="X119" i="2"/>
  <c r="X186" i="2" s="1"/>
  <c r="Y119" i="2"/>
  <c r="Y186" i="2" s="1"/>
  <c r="Z119" i="2"/>
  <c r="Z186" i="2" s="1"/>
  <c r="AA119" i="2"/>
  <c r="AA186" i="2" s="1"/>
  <c r="AB119" i="2"/>
  <c r="AB186" i="2" s="1"/>
  <c r="AC119" i="2"/>
  <c r="C119" i="2"/>
  <c r="C111" i="2"/>
  <c r="C79" i="2"/>
  <c r="C83" i="2"/>
  <c r="C96" i="2"/>
  <c r="C103" i="2"/>
  <c r="C173" i="2"/>
  <c r="C160" i="2"/>
  <c r="AB43" i="6"/>
  <c r="AA43" i="6"/>
  <c r="Z43" i="6"/>
  <c r="Y43" i="6"/>
  <c r="X43" i="6"/>
  <c r="W43" i="6"/>
  <c r="V43" i="6"/>
  <c r="U43" i="6"/>
  <c r="T43" i="6"/>
  <c r="S43" i="6"/>
  <c r="R43" i="6"/>
  <c r="R41" i="6" s="1"/>
  <c r="R99" i="2" s="1"/>
  <c r="Q43" i="6"/>
  <c r="V42" i="6"/>
  <c r="P13" i="2"/>
  <c r="P12" i="2"/>
  <c r="P11" i="2"/>
  <c r="P8" i="2"/>
  <c r="P9" i="2"/>
  <c r="P7" i="2"/>
  <c r="AC1" i="2"/>
  <c r="S62" i="6"/>
  <c r="T62" i="6" s="1"/>
  <c r="U62" i="6" s="1"/>
  <c r="S64" i="6"/>
  <c r="T64" i="6"/>
  <c r="U64" i="6"/>
  <c r="V64" i="6" s="1"/>
  <c r="W64" i="6" s="1"/>
  <c r="X64" i="6" s="1"/>
  <c r="Y64" i="6" s="1"/>
  <c r="Z64" i="6" s="1"/>
  <c r="AA64" i="6" s="1"/>
  <c r="AB64" i="6" s="1"/>
  <c r="S65" i="6"/>
  <c r="T65" i="6"/>
  <c r="U65" i="6" s="1"/>
  <c r="V65" i="6" s="1"/>
  <c r="W65" i="6" s="1"/>
  <c r="X65" i="6" s="1"/>
  <c r="Y65" i="6" s="1"/>
  <c r="Z65" i="6" s="1"/>
  <c r="AA65" i="6" s="1"/>
  <c r="AB65" i="6" s="1"/>
  <c r="S66" i="6"/>
  <c r="T66" i="6" s="1"/>
  <c r="U66" i="6" s="1"/>
  <c r="V66" i="6" s="1"/>
  <c r="W66" i="6" s="1"/>
  <c r="X66" i="6" s="1"/>
  <c r="Y66" i="6" s="1"/>
  <c r="Z66" i="6" s="1"/>
  <c r="AA66" i="6" s="1"/>
  <c r="AB66" i="6" s="1"/>
  <c r="S67" i="6"/>
  <c r="T67" i="6"/>
  <c r="U67" i="6"/>
  <c r="V67" i="6"/>
  <c r="W67" i="6"/>
  <c r="X67" i="6" s="1"/>
  <c r="Y67" i="6" s="1"/>
  <c r="Z67" i="6" s="1"/>
  <c r="AA67" i="6" s="1"/>
  <c r="AB67" i="6" s="1"/>
  <c r="S68" i="6"/>
  <c r="T68" i="6"/>
  <c r="U68" i="6"/>
  <c r="V68" i="6"/>
  <c r="W68" i="6" s="1"/>
  <c r="X68" i="6" s="1"/>
  <c r="Y68" i="6" s="1"/>
  <c r="Z68" i="6" s="1"/>
  <c r="AA68" i="6" s="1"/>
  <c r="AB68" i="6" s="1"/>
  <c r="R63" i="6"/>
  <c r="S63" i="6" s="1"/>
  <c r="T63" i="6" s="1"/>
  <c r="U63" i="6" s="1"/>
  <c r="V63" i="6" s="1"/>
  <c r="W63" i="6" s="1"/>
  <c r="X63" i="6" s="1"/>
  <c r="Y63" i="6" s="1"/>
  <c r="Z63" i="6" s="1"/>
  <c r="AA63" i="6" s="1"/>
  <c r="AB63" i="6" s="1"/>
  <c r="AD63" i="6" s="1"/>
  <c r="AE63" i="6" s="1"/>
  <c r="AF63" i="6" s="1"/>
  <c r="AG63" i="6" s="1"/>
  <c r="AH63" i="6" s="1"/>
  <c r="AI63" i="6" s="1"/>
  <c r="AJ63" i="6" s="1"/>
  <c r="AK63" i="6" s="1"/>
  <c r="AL63" i="6" s="1"/>
  <c r="AM63" i="6" s="1"/>
  <c r="AN63" i="6" s="1"/>
  <c r="AO63" i="6" s="1"/>
  <c r="R64" i="6"/>
  <c r="R65" i="6"/>
  <c r="R66" i="6"/>
  <c r="R67" i="6"/>
  <c r="R68" i="6"/>
  <c r="R62" i="6"/>
  <c r="Q64" i="6"/>
  <c r="Q65" i="6"/>
  <c r="Q66" i="6"/>
  <c r="Q67" i="6"/>
  <c r="Q68" i="6"/>
  <c r="Q62" i="6"/>
  <c r="Q59" i="6"/>
  <c r="Q52" i="6" s="1"/>
  <c r="Q101" i="2" s="1"/>
  <c r="S54" i="6"/>
  <c r="T54" i="6"/>
  <c r="U54" i="6"/>
  <c r="V54" i="6"/>
  <c r="W54" i="6" s="1"/>
  <c r="X54" i="6" s="1"/>
  <c r="Y54" i="6" s="1"/>
  <c r="Z54" i="6" s="1"/>
  <c r="AA54" i="6" s="1"/>
  <c r="AB54" i="6" s="1"/>
  <c r="AE54" i="6" s="1"/>
  <c r="AF54" i="6" s="1"/>
  <c r="AG54" i="6" s="1"/>
  <c r="AH54" i="6" s="1"/>
  <c r="AI54" i="6" s="1"/>
  <c r="AJ54" i="6" s="1"/>
  <c r="AK54" i="6" s="1"/>
  <c r="AL54" i="6" s="1"/>
  <c r="AM54" i="6" s="1"/>
  <c r="AN54" i="6" s="1"/>
  <c r="AO54" i="6" s="1"/>
  <c r="S57" i="6"/>
  <c r="T57" i="6"/>
  <c r="U57" i="6"/>
  <c r="V57" i="6"/>
  <c r="W57" i="6" s="1"/>
  <c r="X57" i="6" s="1"/>
  <c r="Y57" i="6" s="1"/>
  <c r="Z57" i="6" s="1"/>
  <c r="AA57" i="6" s="1"/>
  <c r="AB57" i="6" s="1"/>
  <c r="AE57" i="6" s="1"/>
  <c r="AF57" i="6" s="1"/>
  <c r="AG57" i="6" s="1"/>
  <c r="AH57" i="6" s="1"/>
  <c r="AI57" i="6" s="1"/>
  <c r="AJ57" i="6" s="1"/>
  <c r="AK57" i="6" s="1"/>
  <c r="AL57" i="6" s="1"/>
  <c r="AM57" i="6" s="1"/>
  <c r="AN57" i="6" s="1"/>
  <c r="AO57" i="6" s="1"/>
  <c r="R54" i="6"/>
  <c r="R55" i="6"/>
  <c r="S55" i="6" s="1"/>
  <c r="T55" i="6" s="1"/>
  <c r="U55" i="6" s="1"/>
  <c r="V55" i="6" s="1"/>
  <c r="W55" i="6" s="1"/>
  <c r="X55" i="6" s="1"/>
  <c r="Y55" i="6" s="1"/>
  <c r="Z55" i="6" s="1"/>
  <c r="AA55" i="6" s="1"/>
  <c r="AB55" i="6" s="1"/>
  <c r="AE55" i="6" s="1"/>
  <c r="AF55" i="6" s="1"/>
  <c r="AG55" i="6" s="1"/>
  <c r="AH55" i="6" s="1"/>
  <c r="AI55" i="6" s="1"/>
  <c r="AJ55" i="6" s="1"/>
  <c r="AK55" i="6" s="1"/>
  <c r="AL55" i="6" s="1"/>
  <c r="AM55" i="6" s="1"/>
  <c r="AN55" i="6" s="1"/>
  <c r="AO55" i="6" s="1"/>
  <c r="R56" i="6"/>
  <c r="R57" i="6"/>
  <c r="R53" i="6"/>
  <c r="S53" i="6" s="1"/>
  <c r="R47" i="6"/>
  <c r="S47" i="6" s="1"/>
  <c r="T47" i="6" s="1"/>
  <c r="U47" i="6" s="1"/>
  <c r="V47" i="6" s="1"/>
  <c r="W47" i="6" s="1"/>
  <c r="X47" i="6" s="1"/>
  <c r="Y47" i="6" s="1"/>
  <c r="Z47" i="6" s="1"/>
  <c r="AA47" i="6" s="1"/>
  <c r="AB47" i="6" s="1"/>
  <c r="AE47" i="6" s="1"/>
  <c r="AF47" i="6" s="1"/>
  <c r="AG47" i="6" s="1"/>
  <c r="AH47" i="6" s="1"/>
  <c r="AI47" i="6" s="1"/>
  <c r="AJ47" i="6" s="1"/>
  <c r="AK47" i="6" s="1"/>
  <c r="AL47" i="6" s="1"/>
  <c r="AM47" i="6" s="1"/>
  <c r="AN47" i="6" s="1"/>
  <c r="AO47" i="6" s="1"/>
  <c r="R48" i="6"/>
  <c r="R45" i="6" s="1"/>
  <c r="R100" i="2" s="1"/>
  <c r="R49" i="6"/>
  <c r="S49" i="6" s="1"/>
  <c r="T49" i="6" s="1"/>
  <c r="U49" i="6" s="1"/>
  <c r="V49" i="6" s="1"/>
  <c r="W49" i="6" s="1"/>
  <c r="X49" i="6" s="1"/>
  <c r="Y49" i="6" s="1"/>
  <c r="Z49" i="6" s="1"/>
  <c r="AA49" i="6" s="1"/>
  <c r="AB49" i="6" s="1"/>
  <c r="AE49" i="6" s="1"/>
  <c r="AF49" i="6" s="1"/>
  <c r="AG49" i="6" s="1"/>
  <c r="AH49" i="6" s="1"/>
  <c r="AI49" i="6" s="1"/>
  <c r="AJ49" i="6" s="1"/>
  <c r="AK49" i="6" s="1"/>
  <c r="AL49" i="6" s="1"/>
  <c r="AM49" i="6" s="1"/>
  <c r="AN49" i="6" s="1"/>
  <c r="AO49" i="6" s="1"/>
  <c r="R46" i="6"/>
  <c r="S46" i="6" s="1"/>
  <c r="T46" i="6" s="1"/>
  <c r="U46" i="6" s="1"/>
  <c r="V46" i="6" s="1"/>
  <c r="W46" i="6" s="1"/>
  <c r="X46" i="6" s="1"/>
  <c r="Y46" i="6" s="1"/>
  <c r="Z46" i="6" s="1"/>
  <c r="AA46" i="6" s="1"/>
  <c r="AB46" i="6" s="1"/>
  <c r="AE46" i="6" s="1"/>
  <c r="Q45" i="6"/>
  <c r="Q100" i="2" s="1"/>
  <c r="S42" i="6"/>
  <c r="S41" i="6" s="1"/>
  <c r="S99" i="2" s="1"/>
  <c r="R42" i="6"/>
  <c r="Q42" i="6"/>
  <c r="Q41" i="6"/>
  <c r="Q99" i="2" s="1"/>
  <c r="T18" i="6"/>
  <c r="T19" i="6"/>
  <c r="U19" i="6"/>
  <c r="T20" i="6"/>
  <c r="R21" i="6"/>
  <c r="T21" i="6"/>
  <c r="T24" i="6"/>
  <c r="Q19" i="6"/>
  <c r="Q20" i="6"/>
  <c r="Q21" i="6"/>
  <c r="Q24" i="6"/>
  <c r="Q17" i="6"/>
  <c r="R12" i="2"/>
  <c r="V22" i="2"/>
  <c r="V27" i="2"/>
  <c r="R22" i="2"/>
  <c r="R23" i="2"/>
  <c r="S24" i="2"/>
  <c r="R27" i="2"/>
  <c r="R20" i="2"/>
  <c r="G76" i="2"/>
  <c r="H76" i="2"/>
  <c r="I76" i="2"/>
  <c r="J76" i="2"/>
  <c r="K76" i="2"/>
  <c r="L76" i="2"/>
  <c r="M76" i="2"/>
  <c r="N76" i="2"/>
  <c r="F76" i="2"/>
  <c r="E76" i="2"/>
  <c r="Q9" i="2"/>
  <c r="R9" i="2" s="1"/>
  <c r="Q8" i="2"/>
  <c r="R8" i="2" s="1"/>
  <c r="S8" i="2" s="1"/>
  <c r="Q7" i="2"/>
  <c r="R7" i="2" s="1"/>
  <c r="R4" i="2"/>
  <c r="S4" i="2" s="1"/>
  <c r="T4" i="2" s="1"/>
  <c r="U4" i="2" s="1"/>
  <c r="V4" i="2" s="1"/>
  <c r="W4" i="2" s="1"/>
  <c r="X4" i="2" s="1"/>
  <c r="Y4" i="2" s="1"/>
  <c r="Z4" i="2" s="1"/>
  <c r="AA4" i="2" s="1"/>
  <c r="AB4" i="2" s="1"/>
  <c r="R3" i="2"/>
  <c r="S3" i="2" s="1"/>
  <c r="T3" i="2" s="1"/>
  <c r="U3" i="2" s="1"/>
  <c r="V3" i="2" s="1"/>
  <c r="W3" i="2" s="1"/>
  <c r="X3" i="2" s="1"/>
  <c r="Y3" i="2" s="1"/>
  <c r="Z3" i="2" s="1"/>
  <c r="AA3" i="2" s="1"/>
  <c r="AB3" i="2" s="1"/>
  <c r="AC3" i="2" s="1"/>
  <c r="R2" i="2"/>
  <c r="S2" i="2" s="1"/>
  <c r="T2" i="2" s="1"/>
  <c r="U2" i="2" s="1"/>
  <c r="V2" i="2" s="1"/>
  <c r="W2" i="2" s="1"/>
  <c r="X2" i="2" s="1"/>
  <c r="Y2" i="2" s="1"/>
  <c r="Z2" i="2" s="1"/>
  <c r="AA2" i="2" s="1"/>
  <c r="AB2" i="2" s="1"/>
  <c r="AC2" i="2" s="1"/>
  <c r="AB1" i="2"/>
  <c r="AA1" i="2"/>
  <c r="Z1" i="2"/>
  <c r="Y1" i="2"/>
  <c r="X1" i="2"/>
  <c r="W1" i="2"/>
  <c r="V1" i="2"/>
  <c r="U1" i="2"/>
  <c r="T1" i="2"/>
  <c r="S1" i="2"/>
  <c r="R1" i="2"/>
  <c r="Q1" i="2"/>
  <c r="E101" i="2"/>
  <c r="F101" i="2"/>
  <c r="G101" i="2"/>
  <c r="H101" i="2"/>
  <c r="I101" i="2"/>
  <c r="J101" i="2"/>
  <c r="K101" i="2"/>
  <c r="L101" i="2"/>
  <c r="M101" i="2"/>
  <c r="N101" i="2"/>
  <c r="O101" i="2"/>
  <c r="D101" i="2"/>
  <c r="E100" i="2"/>
  <c r="F100" i="2"/>
  <c r="G100" i="2"/>
  <c r="H100" i="2"/>
  <c r="I100" i="2"/>
  <c r="J100" i="2"/>
  <c r="K100" i="2"/>
  <c r="L100" i="2"/>
  <c r="M100" i="2"/>
  <c r="N100" i="2"/>
  <c r="O100" i="2"/>
  <c r="D100" i="2"/>
  <c r="E99" i="2"/>
  <c r="F99" i="2"/>
  <c r="G99" i="2"/>
  <c r="H99" i="2"/>
  <c r="I99" i="2"/>
  <c r="J99" i="2"/>
  <c r="K99" i="2"/>
  <c r="L99" i="2"/>
  <c r="M99" i="2"/>
  <c r="N99" i="2"/>
  <c r="O99" i="2"/>
  <c r="D99" i="2"/>
  <c r="B102" i="2"/>
  <c r="B101" i="2"/>
  <c r="B100" i="2"/>
  <c r="B99" i="2"/>
  <c r="E91" i="2"/>
  <c r="F91" i="2"/>
  <c r="G91" i="2"/>
  <c r="H91" i="2"/>
  <c r="I91" i="2"/>
  <c r="K91" i="2"/>
  <c r="L91" i="2"/>
  <c r="E93" i="2"/>
  <c r="F93" i="2"/>
  <c r="G93" i="2"/>
  <c r="H93" i="2"/>
  <c r="I93" i="2"/>
  <c r="N93" i="2"/>
  <c r="E94" i="2"/>
  <c r="F94" i="2"/>
  <c r="G94" i="2"/>
  <c r="H94" i="2"/>
  <c r="I94" i="2"/>
  <c r="E95" i="2"/>
  <c r="F95" i="2"/>
  <c r="G95" i="2"/>
  <c r="H95" i="2"/>
  <c r="I95" i="2"/>
  <c r="D91" i="2"/>
  <c r="D93" i="2"/>
  <c r="D94" i="2"/>
  <c r="D95" i="2"/>
  <c r="B95" i="2"/>
  <c r="B87" i="2"/>
  <c r="B88" i="2"/>
  <c r="B89" i="2"/>
  <c r="B90" i="2"/>
  <c r="B91" i="2"/>
  <c r="B92" i="2"/>
  <c r="B93" i="2"/>
  <c r="B94" i="2"/>
  <c r="B86" i="2"/>
  <c r="E81" i="2"/>
  <c r="F81" i="2"/>
  <c r="G81" i="2"/>
  <c r="H81" i="2"/>
  <c r="I81" i="2"/>
  <c r="J81" i="2"/>
  <c r="K81" i="2"/>
  <c r="L81" i="2"/>
  <c r="M81" i="2"/>
  <c r="N81" i="2"/>
  <c r="O81" i="2"/>
  <c r="E82" i="2"/>
  <c r="F82" i="2"/>
  <c r="G82" i="2"/>
  <c r="H82" i="2"/>
  <c r="I82" i="2"/>
  <c r="J82" i="2"/>
  <c r="K82" i="2"/>
  <c r="L82" i="2"/>
  <c r="M82" i="2"/>
  <c r="N82" i="2"/>
  <c r="O82" i="2"/>
  <c r="D82" i="2"/>
  <c r="D81" i="2"/>
  <c r="D76" i="2"/>
  <c r="A71" i="2"/>
  <c r="A72" i="2"/>
  <c r="A73" i="2"/>
  <c r="A74" i="2"/>
  <c r="A75" i="2"/>
  <c r="A76" i="2"/>
  <c r="A79" i="2"/>
  <c r="A80" i="2"/>
  <c r="A81" i="2"/>
  <c r="A82" i="2"/>
  <c r="A83" i="2"/>
  <c r="A84" i="2"/>
  <c r="A85" i="2"/>
  <c r="A86" i="2"/>
  <c r="A87" i="2"/>
  <c r="A88" i="2"/>
  <c r="A89" i="2"/>
  <c r="A90" i="2"/>
  <c r="A91" i="2"/>
  <c r="A92" i="2"/>
  <c r="A93" i="2"/>
  <c r="A94" i="2"/>
  <c r="A95" i="2"/>
  <c r="A96" i="2"/>
  <c r="A97" i="2"/>
  <c r="A98" i="2"/>
  <c r="A99" i="2"/>
  <c r="A100" i="2"/>
  <c r="A101" i="2"/>
  <c r="A102" i="2"/>
  <c r="A103" i="2"/>
  <c r="D20" i="2"/>
  <c r="K20" i="2"/>
  <c r="L20" i="2"/>
  <c r="K21" i="2"/>
  <c r="L21" i="2"/>
  <c r="M21" i="2"/>
  <c r="N21" i="2"/>
  <c r="O21" i="2"/>
  <c r="K22" i="2"/>
  <c r="L22" i="2"/>
  <c r="K23" i="2"/>
  <c r="L23" i="2"/>
  <c r="K24" i="2"/>
  <c r="L24" i="2"/>
  <c r="K26" i="2"/>
  <c r="L26" i="2"/>
  <c r="M26" i="2"/>
  <c r="N26" i="2"/>
  <c r="O26" i="2"/>
  <c r="Q26" i="2" s="1"/>
  <c r="K27" i="2"/>
  <c r="L27" i="2"/>
  <c r="M27" i="2"/>
  <c r="N27" i="2"/>
  <c r="O27" i="2"/>
  <c r="K28" i="2"/>
  <c r="L28" i="2"/>
  <c r="M28" i="2"/>
  <c r="N28" i="2"/>
  <c r="O28" i="2"/>
  <c r="Q28" i="2" s="1"/>
  <c r="I27" i="2"/>
  <c r="K17" i="5"/>
  <c r="S17" i="5" s="1"/>
  <c r="N53" i="2" s="1"/>
  <c r="N65" i="2" s="1"/>
  <c r="E20" i="2"/>
  <c r="F20" i="2"/>
  <c r="G20" i="2"/>
  <c r="H20" i="2"/>
  <c r="I20" i="2"/>
  <c r="J20" i="2"/>
  <c r="E21" i="2"/>
  <c r="F21" i="2"/>
  <c r="G21" i="2"/>
  <c r="H21" i="2"/>
  <c r="I21" i="2"/>
  <c r="J21" i="2"/>
  <c r="E22" i="2"/>
  <c r="F22" i="2"/>
  <c r="G22" i="2"/>
  <c r="H22" i="2"/>
  <c r="I22" i="2"/>
  <c r="J22" i="2"/>
  <c r="E23" i="2"/>
  <c r="F23" i="2"/>
  <c r="G23" i="2"/>
  <c r="H23" i="2"/>
  <c r="I23" i="2"/>
  <c r="J23" i="2"/>
  <c r="E24" i="2"/>
  <c r="F24" i="2"/>
  <c r="G24" i="2"/>
  <c r="H24" i="2"/>
  <c r="I24" i="2"/>
  <c r="J24" i="2"/>
  <c r="E25" i="2"/>
  <c r="F25" i="2"/>
  <c r="G25" i="2"/>
  <c r="H25" i="2"/>
  <c r="I25" i="2"/>
  <c r="E26" i="2"/>
  <c r="F26" i="2"/>
  <c r="G26" i="2"/>
  <c r="H26" i="2"/>
  <c r="I26" i="2"/>
  <c r="J26" i="2"/>
  <c r="E27" i="2"/>
  <c r="F27" i="2"/>
  <c r="G27" i="2"/>
  <c r="H27" i="2"/>
  <c r="J27" i="2"/>
  <c r="E28" i="2"/>
  <c r="F28" i="2"/>
  <c r="G28" i="2"/>
  <c r="H28" i="2"/>
  <c r="I28" i="2"/>
  <c r="J28" i="2"/>
  <c r="D21" i="2"/>
  <c r="D22" i="2"/>
  <c r="D23" i="2"/>
  <c r="D24" i="2"/>
  <c r="D25" i="2"/>
  <c r="P25" i="2" s="1"/>
  <c r="D26" i="2"/>
  <c r="P26" i="2" s="1"/>
  <c r="D27" i="2"/>
  <c r="D28" i="2"/>
  <c r="P28" i="2" s="1"/>
  <c r="E69" i="6"/>
  <c r="F69" i="6"/>
  <c r="G69" i="6"/>
  <c r="H69" i="6"/>
  <c r="I69" i="6"/>
  <c r="J69" i="6"/>
  <c r="K69" i="6"/>
  <c r="L69" i="6"/>
  <c r="M69" i="6"/>
  <c r="N69" i="6"/>
  <c r="O69" i="6"/>
  <c r="D69" i="6"/>
  <c r="I54" i="2"/>
  <c r="I66" i="2" s="1"/>
  <c r="J54" i="2"/>
  <c r="J66" i="2" s="1"/>
  <c r="K54" i="2"/>
  <c r="K66" i="2" s="1"/>
  <c r="L54" i="2"/>
  <c r="L66" i="2" s="1"/>
  <c r="M54" i="2"/>
  <c r="N54" i="2"/>
  <c r="N66" i="2" s="1"/>
  <c r="O54" i="2"/>
  <c r="E54" i="2"/>
  <c r="E66" i="2" s="1"/>
  <c r="F54" i="2"/>
  <c r="F66" i="2" s="1"/>
  <c r="G54" i="2"/>
  <c r="H54" i="2"/>
  <c r="H66" i="2" s="1"/>
  <c r="D54" i="2"/>
  <c r="E15" i="2"/>
  <c r="E73" i="2" s="1"/>
  <c r="F15" i="2"/>
  <c r="F73" i="2" s="1"/>
  <c r="G15" i="2"/>
  <c r="G73" i="2" s="1"/>
  <c r="H15" i="2"/>
  <c r="H73" i="2" s="1"/>
  <c r="I15" i="2"/>
  <c r="I73" i="2" s="1"/>
  <c r="J15" i="2"/>
  <c r="J73" i="2" s="1"/>
  <c r="K15" i="2"/>
  <c r="K73" i="2" s="1"/>
  <c r="L15" i="2"/>
  <c r="L73" i="2" s="1"/>
  <c r="M15" i="2"/>
  <c r="M73" i="2" s="1"/>
  <c r="N15" i="2"/>
  <c r="N73" i="2" s="1"/>
  <c r="E16" i="2"/>
  <c r="E74" i="2" s="1"/>
  <c r="F16" i="2"/>
  <c r="F74" i="2" s="1"/>
  <c r="G16" i="2"/>
  <c r="G74" i="2" s="1"/>
  <c r="H16" i="2"/>
  <c r="H74" i="2" s="1"/>
  <c r="I16" i="2"/>
  <c r="I74" i="2" s="1"/>
  <c r="J16" i="2"/>
  <c r="J74" i="2" s="1"/>
  <c r="K16" i="2"/>
  <c r="K74" i="2" s="1"/>
  <c r="L16" i="2"/>
  <c r="L74" i="2" s="1"/>
  <c r="M16" i="2"/>
  <c r="M74" i="2" s="1"/>
  <c r="N16" i="2"/>
  <c r="N74" i="2" s="1"/>
  <c r="O16" i="2"/>
  <c r="O74" i="2" s="1"/>
  <c r="E17" i="2"/>
  <c r="E75" i="2" s="1"/>
  <c r="F17" i="2"/>
  <c r="F75" i="2" s="1"/>
  <c r="G17" i="2"/>
  <c r="G75" i="2" s="1"/>
  <c r="H17" i="2"/>
  <c r="H75" i="2" s="1"/>
  <c r="I17" i="2"/>
  <c r="I75" i="2" s="1"/>
  <c r="J17" i="2"/>
  <c r="J75" i="2" s="1"/>
  <c r="J219" i="2" s="1"/>
  <c r="K17" i="2"/>
  <c r="K75" i="2" s="1"/>
  <c r="L17" i="2"/>
  <c r="L75" i="2" s="1"/>
  <c r="M17" i="2"/>
  <c r="M75" i="2" s="1"/>
  <c r="N17" i="2"/>
  <c r="N75" i="2" s="1"/>
  <c r="O17" i="2"/>
  <c r="O75" i="2" s="1"/>
  <c r="D16" i="2"/>
  <c r="D74" i="2" s="1"/>
  <c r="D17" i="2"/>
  <c r="D75" i="2" s="1"/>
  <c r="D15" i="2"/>
  <c r="D73" i="2" s="1"/>
  <c r="K11" i="5"/>
  <c r="S11" i="5" s="1"/>
  <c r="K10" i="5"/>
  <c r="S16" i="5"/>
  <c r="N52" i="2" s="1"/>
  <c r="N64" i="2" s="1"/>
  <c r="K14" i="5"/>
  <c r="K13" i="5"/>
  <c r="K12" i="5"/>
  <c r="K15" i="5"/>
  <c r="D66" i="6"/>
  <c r="E66" i="6" s="1"/>
  <c r="F66" i="6" s="1"/>
  <c r="G66" i="6" s="1"/>
  <c r="H66" i="6" s="1"/>
  <c r="I66" i="6" s="1"/>
  <c r="J66" i="6" s="1"/>
  <c r="K66" i="6" s="1"/>
  <c r="L66" i="6" s="1"/>
  <c r="M66" i="6" s="1"/>
  <c r="N66" i="6" s="1"/>
  <c r="O66" i="6" s="1"/>
  <c r="D64" i="6"/>
  <c r="E64" i="6" s="1"/>
  <c r="F64" i="6" s="1"/>
  <c r="G64" i="6" s="1"/>
  <c r="H64" i="6" s="1"/>
  <c r="I64" i="6" s="1"/>
  <c r="J64" i="6" s="1"/>
  <c r="K64" i="6" s="1"/>
  <c r="L64" i="6" s="1"/>
  <c r="M64" i="6" s="1"/>
  <c r="N64" i="6" s="1"/>
  <c r="O64" i="6" s="1"/>
  <c r="D65" i="6"/>
  <c r="E65" i="6" s="1"/>
  <c r="F65" i="6" s="1"/>
  <c r="G65" i="6" s="1"/>
  <c r="H65" i="6" s="1"/>
  <c r="I65" i="6" s="1"/>
  <c r="J65" i="6" s="1"/>
  <c r="K65" i="6" s="1"/>
  <c r="L65" i="6" s="1"/>
  <c r="M65" i="6" s="1"/>
  <c r="N65" i="6" s="1"/>
  <c r="O65" i="6" s="1"/>
  <c r="D63" i="6"/>
  <c r="E63" i="6" s="1"/>
  <c r="D62" i="6"/>
  <c r="E56" i="6"/>
  <c r="F56" i="6"/>
  <c r="G56" i="6"/>
  <c r="H56" i="6"/>
  <c r="I56" i="6"/>
  <c r="J56" i="6"/>
  <c r="K56" i="6"/>
  <c r="L56" i="6"/>
  <c r="M56" i="6"/>
  <c r="N56" i="6"/>
  <c r="O56" i="6"/>
  <c r="D56" i="6"/>
  <c r="O55" i="6"/>
  <c r="E55" i="6"/>
  <c r="F55" i="6"/>
  <c r="G55" i="6"/>
  <c r="H55" i="6"/>
  <c r="I55" i="6"/>
  <c r="J55" i="6"/>
  <c r="K55" i="6"/>
  <c r="L55" i="6"/>
  <c r="M55" i="6"/>
  <c r="N55" i="6"/>
  <c r="D55" i="6"/>
  <c r="E54" i="6"/>
  <c r="F54" i="6"/>
  <c r="G54" i="6"/>
  <c r="H54" i="6"/>
  <c r="I54" i="6"/>
  <c r="J54" i="6"/>
  <c r="K54" i="6"/>
  <c r="L54" i="6"/>
  <c r="M54" i="6"/>
  <c r="N54" i="6"/>
  <c r="O54" i="6"/>
  <c r="D54" i="6"/>
  <c r="E53" i="6"/>
  <c r="F53" i="6"/>
  <c r="G53" i="6"/>
  <c r="H53" i="6"/>
  <c r="I53" i="6"/>
  <c r="J53" i="6"/>
  <c r="K53" i="6"/>
  <c r="L53" i="6"/>
  <c r="M53" i="6"/>
  <c r="N53" i="6"/>
  <c r="O53" i="6"/>
  <c r="D53" i="6"/>
  <c r="E48" i="6"/>
  <c r="F48" i="6"/>
  <c r="G48" i="6"/>
  <c r="H48" i="6"/>
  <c r="I48" i="6"/>
  <c r="J48" i="6"/>
  <c r="K48" i="6"/>
  <c r="L48" i="6"/>
  <c r="M48" i="6"/>
  <c r="N48" i="6"/>
  <c r="O48" i="6"/>
  <c r="D48" i="6"/>
  <c r="E47" i="6"/>
  <c r="F47" i="6"/>
  <c r="G47" i="6"/>
  <c r="H47" i="6"/>
  <c r="I47" i="6"/>
  <c r="J47" i="6"/>
  <c r="K47" i="6"/>
  <c r="L47" i="6"/>
  <c r="M47" i="6"/>
  <c r="N47" i="6"/>
  <c r="O47" i="6"/>
  <c r="D47" i="6"/>
  <c r="E46" i="6"/>
  <c r="F46" i="6"/>
  <c r="G46" i="6"/>
  <c r="H46" i="6"/>
  <c r="I46" i="6"/>
  <c r="J46" i="6"/>
  <c r="K46" i="6"/>
  <c r="L46" i="6"/>
  <c r="M46" i="6"/>
  <c r="N46" i="6"/>
  <c r="O46" i="6"/>
  <c r="D46" i="6"/>
  <c r="J42" i="6"/>
  <c r="J43" i="6" s="1"/>
  <c r="E43" i="6"/>
  <c r="E41" i="6" s="1"/>
  <c r="F43" i="6"/>
  <c r="F41" i="6" s="1"/>
  <c r="G43" i="6"/>
  <c r="G41" i="6" s="1"/>
  <c r="H43" i="6"/>
  <c r="H41" i="6" s="1"/>
  <c r="I43" i="6"/>
  <c r="I41" i="6" s="1"/>
  <c r="D43" i="6"/>
  <c r="D41" i="6" s="1"/>
  <c r="J29" i="6"/>
  <c r="J86" i="2" s="1"/>
  <c r="E38" i="6"/>
  <c r="F38" i="6"/>
  <c r="G38" i="6"/>
  <c r="H38" i="6"/>
  <c r="I38" i="6"/>
  <c r="J38" i="6"/>
  <c r="J95" i="2" s="1"/>
  <c r="K38" i="6"/>
  <c r="K95" i="2" s="1"/>
  <c r="L38" i="6"/>
  <c r="L95" i="2" s="1"/>
  <c r="M38" i="6"/>
  <c r="M95" i="2" s="1"/>
  <c r="N38" i="6"/>
  <c r="N95" i="2" s="1"/>
  <c r="O38" i="6"/>
  <c r="O95" i="2" s="1"/>
  <c r="D38" i="6"/>
  <c r="E37" i="6"/>
  <c r="F37" i="6"/>
  <c r="G37" i="6"/>
  <c r="H37" i="6"/>
  <c r="I37" i="6"/>
  <c r="J37" i="6"/>
  <c r="J94" i="2" s="1"/>
  <c r="K37" i="6"/>
  <c r="K94" i="2" s="1"/>
  <c r="L37" i="6"/>
  <c r="L94" i="2" s="1"/>
  <c r="M37" i="6"/>
  <c r="M94" i="2" s="1"/>
  <c r="N37" i="6"/>
  <c r="N94" i="2" s="1"/>
  <c r="O37" i="6"/>
  <c r="O94" i="2" s="1"/>
  <c r="D37" i="6"/>
  <c r="E36" i="6"/>
  <c r="F36" i="6"/>
  <c r="G36" i="6"/>
  <c r="H36" i="6"/>
  <c r="I36" i="6"/>
  <c r="J93" i="2"/>
  <c r="K36" i="6"/>
  <c r="K93" i="2" s="1"/>
  <c r="L36" i="6"/>
  <c r="L93" i="2" s="1"/>
  <c r="M36" i="6"/>
  <c r="M93" i="2" s="1"/>
  <c r="N36" i="6"/>
  <c r="O36" i="6"/>
  <c r="O93" i="2" s="1"/>
  <c r="D36" i="6"/>
  <c r="E34" i="6"/>
  <c r="F34" i="6"/>
  <c r="G34" i="6"/>
  <c r="H34" i="6"/>
  <c r="I34" i="6"/>
  <c r="J34" i="6"/>
  <c r="J91" i="2" s="1"/>
  <c r="K34" i="6"/>
  <c r="L34" i="6"/>
  <c r="M34" i="6"/>
  <c r="M91" i="2" s="1"/>
  <c r="N34" i="6"/>
  <c r="N91" i="2" s="1"/>
  <c r="O34" i="6"/>
  <c r="O91" i="2" s="1"/>
  <c r="D34" i="6"/>
  <c r="E29" i="6"/>
  <c r="E86" i="2" s="1"/>
  <c r="F29" i="6"/>
  <c r="F86" i="2" s="1"/>
  <c r="G29" i="6"/>
  <c r="G86" i="2" s="1"/>
  <c r="H29" i="6"/>
  <c r="H86" i="2" s="1"/>
  <c r="I29" i="6"/>
  <c r="I86" i="2" s="1"/>
  <c r="K29" i="6"/>
  <c r="K86" i="2" s="1"/>
  <c r="L29" i="6"/>
  <c r="L86" i="2" s="1"/>
  <c r="M29" i="6"/>
  <c r="M86" i="2" s="1"/>
  <c r="N29" i="6"/>
  <c r="N86" i="2" s="1"/>
  <c r="O29" i="6"/>
  <c r="O86" i="2" s="1"/>
  <c r="D29" i="6"/>
  <c r="D86" i="2" s="1"/>
  <c r="E13" i="6"/>
  <c r="J13" i="6"/>
  <c r="K13" i="6"/>
  <c r="L13" i="6"/>
  <c r="D13" i="6"/>
  <c r="G5" i="6"/>
  <c r="M5" i="6" s="1"/>
  <c r="G4" i="6"/>
  <c r="M4" i="6" s="1"/>
  <c r="O5" i="6"/>
  <c r="O6" i="6"/>
  <c r="O7" i="6"/>
  <c r="O8" i="6"/>
  <c r="O9" i="6"/>
  <c r="O10" i="6"/>
  <c r="O11" i="6"/>
  <c r="O12" i="6"/>
  <c r="O4" i="6"/>
  <c r="N1" i="6"/>
  <c r="N4" i="6" s="1"/>
  <c r="G7" i="6"/>
  <c r="G8" i="6"/>
  <c r="G9" i="6"/>
  <c r="G10" i="6"/>
  <c r="G11" i="6"/>
  <c r="G12" i="6"/>
  <c r="G6" i="6"/>
  <c r="H7" i="6"/>
  <c r="H8" i="6"/>
  <c r="H9" i="6"/>
  <c r="H10" i="6"/>
  <c r="H11" i="6"/>
  <c r="H12" i="6"/>
  <c r="H6" i="6"/>
  <c r="F7" i="6"/>
  <c r="F8" i="6"/>
  <c r="F9" i="6"/>
  <c r="F10" i="6"/>
  <c r="F11" i="6"/>
  <c r="F12" i="6"/>
  <c r="F6" i="6"/>
  <c r="U24" i="5"/>
  <c r="U23" i="5"/>
  <c r="M24" i="5"/>
  <c r="M23" i="5"/>
  <c r="C19" i="5"/>
  <c r="AJ32" i="2" s="1"/>
  <c r="E24" i="5"/>
  <c r="E23" i="5"/>
  <c r="A31" i="2"/>
  <c r="A32" i="2"/>
  <c r="A33" i="2"/>
  <c r="A34" i="2"/>
  <c r="A35"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30" i="2"/>
  <c r="A28" i="2"/>
  <c r="A29" i="2"/>
  <c r="E4" i="2"/>
  <c r="F4" i="2" s="1"/>
  <c r="G4" i="2" s="1"/>
  <c r="H4" i="2" s="1"/>
  <c r="I4" i="2" s="1"/>
  <c r="J4" i="2" s="1"/>
  <c r="K4" i="2" s="1"/>
  <c r="L4" i="2" s="1"/>
  <c r="M4" i="2" s="1"/>
  <c r="N4" i="2" s="1"/>
  <c r="O4" i="2" s="1"/>
  <c r="E3" i="2"/>
  <c r="F3" i="2" s="1"/>
  <c r="G3" i="2" s="1"/>
  <c r="H3" i="2" s="1"/>
  <c r="I3" i="2" s="1"/>
  <c r="J3" i="2" s="1"/>
  <c r="K3" i="2" s="1"/>
  <c r="L3" i="2" s="1"/>
  <c r="M3" i="2" s="1"/>
  <c r="N3" i="2" s="1"/>
  <c r="O3" i="2" s="1"/>
  <c r="P3" i="2" s="1"/>
  <c r="A27" i="2"/>
  <c r="A26" i="2"/>
  <c r="A25" i="2"/>
  <c r="A24" i="2"/>
  <c r="A23" i="2"/>
  <c r="A22" i="2"/>
  <c r="A21" i="2"/>
  <c r="A20" i="2"/>
  <c r="A19" i="2"/>
  <c r="A18" i="2"/>
  <c r="A17" i="2"/>
  <c r="A16" i="2"/>
  <c r="A15" i="2"/>
  <c r="A14" i="2"/>
  <c r="A13" i="2"/>
  <c r="A12" i="2"/>
  <c r="A11" i="2"/>
  <c r="A10" i="2"/>
  <c r="A9" i="2"/>
  <c r="A8" i="2"/>
  <c r="A7" i="2"/>
  <c r="A6" i="2"/>
  <c r="A5" i="2"/>
  <c r="A4" i="2"/>
  <c r="A3" i="2"/>
  <c r="E2" i="2"/>
  <c r="F2" i="2" s="1"/>
  <c r="G2" i="2" s="1"/>
  <c r="H2" i="2" s="1"/>
  <c r="I2" i="2" s="1"/>
  <c r="J2" i="2" s="1"/>
  <c r="K2" i="2" s="1"/>
  <c r="L2" i="2" s="1"/>
  <c r="M2" i="2" s="1"/>
  <c r="N2" i="2" s="1"/>
  <c r="O2" i="2" s="1"/>
  <c r="P2" i="2" s="1"/>
  <c r="A2" i="2"/>
  <c r="P1" i="2"/>
  <c r="O1" i="2"/>
  <c r="N1" i="2"/>
  <c r="M1" i="2"/>
  <c r="L1" i="2"/>
  <c r="K1" i="2"/>
  <c r="J1" i="2"/>
  <c r="I1" i="2"/>
  <c r="H1" i="2"/>
  <c r="G1" i="2"/>
  <c r="F1" i="2"/>
  <c r="E1" i="2"/>
  <c r="D1" i="2"/>
  <c r="C1" i="2"/>
  <c r="B1" i="2"/>
  <c r="C1" i="1"/>
  <c r="D1" i="1"/>
  <c r="E1" i="1"/>
  <c r="F1" i="1"/>
  <c r="G1" i="1"/>
  <c r="H1" i="1"/>
  <c r="I1" i="1"/>
  <c r="J1" i="1"/>
  <c r="K1" i="1"/>
  <c r="L1" i="1"/>
  <c r="M1" i="1"/>
  <c r="N1" i="1"/>
  <c r="O1" i="1"/>
  <c r="P1" i="1"/>
  <c r="B1" i="1"/>
  <c r="A5" i="1"/>
  <c r="A6" i="1"/>
  <c r="A7" i="1"/>
  <c r="A8" i="1"/>
  <c r="A9" i="1"/>
  <c r="A10" i="1"/>
  <c r="A11" i="1"/>
  <c r="A12" i="1"/>
  <c r="A13" i="1"/>
  <c r="A14" i="1"/>
  <c r="A15" i="1"/>
  <c r="A16" i="1"/>
  <c r="A17" i="1"/>
  <c r="A18" i="1"/>
  <c r="A19" i="1"/>
  <c r="A20" i="1"/>
  <c r="A21" i="1"/>
  <c r="A22" i="1"/>
  <c r="A23" i="1"/>
  <c r="A24" i="1"/>
  <c r="A25" i="1"/>
  <c r="A26" i="1"/>
  <c r="A27" i="1"/>
  <c r="A3" i="1"/>
  <c r="A4" i="1"/>
  <c r="A2" i="1"/>
  <c r="E2" i="1"/>
  <c r="F2" i="1" s="1"/>
  <c r="G2" i="1" s="1"/>
  <c r="H2" i="1" s="1"/>
  <c r="I2" i="1" s="1"/>
  <c r="J2" i="1" s="1"/>
  <c r="K2" i="1" s="1"/>
  <c r="L2" i="1" s="1"/>
  <c r="M2" i="1" s="1"/>
  <c r="N2" i="1" s="1"/>
  <c r="O2" i="1" s="1"/>
  <c r="P2" i="1" s="1"/>
  <c r="S48" i="6" l="1"/>
  <c r="T48" i="6" s="1"/>
  <c r="U48" i="6" s="1"/>
  <c r="V48" i="6" s="1"/>
  <c r="W48" i="6" s="1"/>
  <c r="X48" i="6" s="1"/>
  <c r="Y48" i="6" s="1"/>
  <c r="Z48" i="6" s="1"/>
  <c r="AA48" i="6" s="1"/>
  <c r="AB48" i="6" s="1"/>
  <c r="AE48" i="6" s="1"/>
  <c r="S45" i="6"/>
  <c r="S100" i="2" s="1"/>
  <c r="R59" i="6"/>
  <c r="R52" i="6" s="1"/>
  <c r="R101" i="2" s="1"/>
  <c r="S56" i="6"/>
  <c r="T56" i="6" s="1"/>
  <c r="U56" i="6" s="1"/>
  <c r="V56" i="6" s="1"/>
  <c r="W56" i="6" s="1"/>
  <c r="X56" i="6" s="1"/>
  <c r="Y56" i="6" s="1"/>
  <c r="Z56" i="6" s="1"/>
  <c r="AA56" i="6" s="1"/>
  <c r="AB56" i="6" s="1"/>
  <c r="AE56" i="6" s="1"/>
  <c r="AF56" i="6" s="1"/>
  <c r="AG56" i="6" s="1"/>
  <c r="AH56" i="6" s="1"/>
  <c r="AI56" i="6" s="1"/>
  <c r="AJ56" i="6" s="1"/>
  <c r="AK56" i="6" s="1"/>
  <c r="AL56" i="6" s="1"/>
  <c r="AM56" i="6" s="1"/>
  <c r="AN56" i="6" s="1"/>
  <c r="AO56" i="6" s="1"/>
  <c r="S59" i="6"/>
  <c r="S52" i="6" s="1"/>
  <c r="S101" i="2" s="1"/>
  <c r="T53" i="6"/>
  <c r="H219" i="2"/>
  <c r="G219" i="2"/>
  <c r="F219" i="2"/>
  <c r="O219" i="2"/>
  <c r="D219" i="2"/>
  <c r="I219" i="2"/>
  <c r="E219" i="2"/>
  <c r="N219" i="2"/>
  <c r="M219" i="2"/>
  <c r="L219" i="2"/>
  <c r="K219" i="2"/>
  <c r="P24" i="2"/>
  <c r="D169" i="2"/>
  <c r="P23" i="2"/>
  <c r="F169" i="2"/>
  <c r="P22" i="2"/>
  <c r="P27" i="2"/>
  <c r="E169" i="2"/>
  <c r="F132" i="2"/>
  <c r="E168" i="2"/>
  <c r="P21" i="2"/>
  <c r="G66" i="2"/>
  <c r="P20" i="2"/>
  <c r="O66" i="2"/>
  <c r="D66" i="2"/>
  <c r="S21" i="6"/>
  <c r="M66" i="2"/>
  <c r="I169" i="2"/>
  <c r="H169" i="2"/>
  <c r="G169" i="2"/>
  <c r="N169" i="2"/>
  <c r="M79" i="2"/>
  <c r="M169" i="2"/>
  <c r="L79" i="2"/>
  <c r="L169" i="2"/>
  <c r="K79" i="2"/>
  <c r="K169" i="2"/>
  <c r="J169" i="2"/>
  <c r="Q22" i="6"/>
  <c r="AH24" i="6"/>
  <c r="AE24" i="6"/>
  <c r="AH21" i="6"/>
  <c r="AF23" i="2"/>
  <c r="AF24" i="2"/>
  <c r="AI21" i="2"/>
  <c r="AI18" i="6" s="1"/>
  <c r="AE19" i="6"/>
  <c r="AF20" i="2"/>
  <c r="W27" i="2"/>
  <c r="W24" i="6" s="1"/>
  <c r="W22" i="2"/>
  <c r="W19" i="6" s="1"/>
  <c r="V21" i="2"/>
  <c r="S23" i="2"/>
  <c r="R19" i="6"/>
  <c r="S20" i="2"/>
  <c r="M25" i="5"/>
  <c r="U25" i="5"/>
  <c r="O52" i="2"/>
  <c r="O64" i="2" s="1"/>
  <c r="I52" i="2"/>
  <c r="I64" i="2" s="1"/>
  <c r="O32" i="2"/>
  <c r="V32" i="2"/>
  <c r="G52" i="2"/>
  <c r="G64" i="2" s="1"/>
  <c r="S14" i="5"/>
  <c r="M50" i="2" s="1"/>
  <c r="M62" i="2" s="1"/>
  <c r="H53" i="2"/>
  <c r="H65" i="2" s="1"/>
  <c r="D47" i="2"/>
  <c r="D59" i="2" s="1"/>
  <c r="G47" i="2"/>
  <c r="G59" i="2" s="1"/>
  <c r="M32" i="2"/>
  <c r="S13" i="5"/>
  <c r="F49" i="2" s="1"/>
  <c r="F61" i="2" s="1"/>
  <c r="L32" i="2"/>
  <c r="M52" i="2"/>
  <c r="M64" i="2" s="1"/>
  <c r="N32" i="2"/>
  <c r="L52" i="2"/>
  <c r="L64" i="2" s="1"/>
  <c r="U32" i="2"/>
  <c r="K52" i="2"/>
  <c r="K64" i="2" s="1"/>
  <c r="F32" i="2"/>
  <c r="J52" i="2"/>
  <c r="J64" i="2" s="1"/>
  <c r="J47" i="2"/>
  <c r="J59" i="2" s="1"/>
  <c r="AD32" i="2"/>
  <c r="F52" i="2"/>
  <c r="F64" i="2" s="1"/>
  <c r="AF32" i="2"/>
  <c r="N47" i="2"/>
  <c r="N59" i="2" s="1"/>
  <c r="AH32" i="2"/>
  <c r="X32" i="2"/>
  <c r="AM32" i="2"/>
  <c r="Q32" i="2"/>
  <c r="AG32" i="2"/>
  <c r="Y32" i="2"/>
  <c r="D32" i="2"/>
  <c r="W32" i="2"/>
  <c r="S12" i="5"/>
  <c r="N48" i="2" s="1"/>
  <c r="N60" i="2" s="1"/>
  <c r="I32" i="2"/>
  <c r="F53" i="2"/>
  <c r="F65" i="2" s="1"/>
  <c r="M53" i="2"/>
  <c r="M65" i="2" s="1"/>
  <c r="K50" i="2"/>
  <c r="K62" i="2" s="1"/>
  <c r="R32" i="2"/>
  <c r="AK32" i="2"/>
  <c r="G32" i="2"/>
  <c r="H52" i="2"/>
  <c r="H64" i="2" s="1"/>
  <c r="H47" i="2"/>
  <c r="H59" i="2" s="1"/>
  <c r="L53" i="2"/>
  <c r="L65" i="2" s="1"/>
  <c r="O47" i="2"/>
  <c r="O59" i="2" s="1"/>
  <c r="AL32" i="2"/>
  <c r="F47" i="2"/>
  <c r="F59" i="2" s="1"/>
  <c r="J53" i="2"/>
  <c r="J65" i="2" s="1"/>
  <c r="M47" i="2"/>
  <c r="M59" i="2" s="1"/>
  <c r="AN32" i="2"/>
  <c r="E52" i="2"/>
  <c r="E64" i="2" s="1"/>
  <c r="E47" i="2"/>
  <c r="E59" i="2" s="1"/>
  <c r="I53" i="2"/>
  <c r="I65" i="2" s="1"/>
  <c r="L47" i="2"/>
  <c r="L59" i="2" s="1"/>
  <c r="AO32" i="2"/>
  <c r="D53" i="2"/>
  <c r="D65" i="2" s="1"/>
  <c r="K47" i="2"/>
  <c r="K59" i="2" s="1"/>
  <c r="D52" i="2"/>
  <c r="D64" i="2" s="1"/>
  <c r="AB32" i="2"/>
  <c r="K53" i="2"/>
  <c r="K65" i="2" s="1"/>
  <c r="I47" i="2"/>
  <c r="I59" i="2" s="1"/>
  <c r="AA32" i="2"/>
  <c r="K19" i="5"/>
  <c r="L33" i="2" s="1"/>
  <c r="Z32" i="2"/>
  <c r="AE32" i="2"/>
  <c r="S10" i="5"/>
  <c r="F46" i="2" s="1"/>
  <c r="F58" i="2" s="1"/>
  <c r="K32" i="2"/>
  <c r="T32" i="2"/>
  <c r="AI32" i="2"/>
  <c r="J32" i="2"/>
  <c r="S32" i="2"/>
  <c r="J79" i="2"/>
  <c r="I79" i="2"/>
  <c r="D79" i="2"/>
  <c r="H79" i="2"/>
  <c r="H222" i="2" s="1"/>
  <c r="G79" i="2"/>
  <c r="F79" i="2"/>
  <c r="F222" i="2" s="1"/>
  <c r="E79" i="2"/>
  <c r="N79" i="2"/>
  <c r="AC186" i="2"/>
  <c r="D111" i="2"/>
  <c r="D185" i="2" s="1"/>
  <c r="AP186" i="2"/>
  <c r="F136" i="2"/>
  <c r="G136" i="2" s="1"/>
  <c r="H136" i="2" s="1"/>
  <c r="AP209" i="2"/>
  <c r="P209" i="2"/>
  <c r="AC209" i="2"/>
  <c r="AE21" i="6"/>
  <c r="P186" i="2"/>
  <c r="D137" i="2"/>
  <c r="E137" i="2" s="1"/>
  <c r="AI24" i="2"/>
  <c r="E197" i="2"/>
  <c r="E201" i="2" s="1"/>
  <c r="D133" i="2"/>
  <c r="D201" i="2"/>
  <c r="AI27" i="2"/>
  <c r="AE20" i="6"/>
  <c r="AH23" i="2"/>
  <c r="AF27" i="2"/>
  <c r="AF22" i="2"/>
  <c r="AG20" i="2"/>
  <c r="AF17" i="6"/>
  <c r="AH18" i="6"/>
  <c r="AE17" i="6"/>
  <c r="AF42" i="6"/>
  <c r="AE43" i="6"/>
  <c r="AE41" i="6" s="1"/>
  <c r="AE99" i="2" s="1"/>
  <c r="AE62" i="6"/>
  <c r="AD45" i="6"/>
  <c r="AD100" i="2" s="1"/>
  <c r="AD43" i="6"/>
  <c r="AD41" i="6" s="1"/>
  <c r="AD99" i="2" s="1"/>
  <c r="AF46" i="6"/>
  <c r="C209" i="2"/>
  <c r="G152" i="2"/>
  <c r="F153" i="2"/>
  <c r="G153" i="2" s="1"/>
  <c r="H153" i="2" s="1"/>
  <c r="I153" i="2" s="1"/>
  <c r="J153" i="2" s="1"/>
  <c r="K153" i="2" s="1"/>
  <c r="L153" i="2" s="1"/>
  <c r="M153" i="2" s="1"/>
  <c r="N153" i="2" s="1"/>
  <c r="O153" i="2" s="1"/>
  <c r="Q153" i="2" s="1"/>
  <c r="R153" i="2" s="1"/>
  <c r="E109" i="2"/>
  <c r="C105" i="2"/>
  <c r="C113" i="2" s="1"/>
  <c r="C121" i="2" s="1"/>
  <c r="Q17" i="2"/>
  <c r="Q75" i="2" s="1"/>
  <c r="H220" i="2"/>
  <c r="J220" i="2"/>
  <c r="N220" i="2"/>
  <c r="G220" i="2"/>
  <c r="P15" i="2"/>
  <c r="P54" i="2"/>
  <c r="Q81" i="2"/>
  <c r="Q82" i="2"/>
  <c r="P101" i="2"/>
  <c r="Q52" i="2"/>
  <c r="Q64" i="2" s="1"/>
  <c r="M220" i="2"/>
  <c r="O220" i="2"/>
  <c r="L220" i="2"/>
  <c r="J83" i="2"/>
  <c r="K220" i="2"/>
  <c r="I83" i="2"/>
  <c r="M83" i="2"/>
  <c r="H83" i="2"/>
  <c r="P100" i="2"/>
  <c r="I220" i="2"/>
  <c r="G83" i="2"/>
  <c r="F83" i="2"/>
  <c r="R52" i="2"/>
  <c r="R64" i="2" s="1"/>
  <c r="R47" i="2"/>
  <c r="R53" i="2"/>
  <c r="R65" i="2" s="1"/>
  <c r="R82" i="2"/>
  <c r="Q76" i="2"/>
  <c r="R81" i="2"/>
  <c r="R54" i="2"/>
  <c r="S7" i="2"/>
  <c r="T8" i="2"/>
  <c r="R16" i="2"/>
  <c r="R74" i="2" s="1"/>
  <c r="S12" i="2"/>
  <c r="T12" i="2" s="1"/>
  <c r="U12" i="2" s="1"/>
  <c r="V12" i="2" s="1"/>
  <c r="W12" i="2" s="1"/>
  <c r="X12" i="2" s="1"/>
  <c r="Y12" i="2" s="1"/>
  <c r="Z12" i="2" s="1"/>
  <c r="AA12" i="2" s="1"/>
  <c r="AB12" i="2" s="1"/>
  <c r="R28" i="2"/>
  <c r="Q25" i="6"/>
  <c r="S9" i="2"/>
  <c r="R21" i="2"/>
  <c r="Q18" i="6"/>
  <c r="P81" i="2"/>
  <c r="L83" i="2"/>
  <c r="Q47" i="2"/>
  <c r="Q59" i="2" s="1"/>
  <c r="P82" i="2"/>
  <c r="K83" i="2"/>
  <c r="Q15" i="2"/>
  <c r="V19" i="6"/>
  <c r="P99" i="2"/>
  <c r="Q16" i="2"/>
  <c r="Q53" i="2"/>
  <c r="Q65" i="2" s="1"/>
  <c r="Q54" i="2"/>
  <c r="Q66" i="2" s="1"/>
  <c r="R11" i="2"/>
  <c r="S11" i="2" s="1"/>
  <c r="T11" i="2" s="1"/>
  <c r="U11" i="2" s="1"/>
  <c r="V11" i="2" s="1"/>
  <c r="W11" i="2" s="1"/>
  <c r="X11" i="2" s="1"/>
  <c r="Y11" i="2" s="1"/>
  <c r="Z11" i="2" s="1"/>
  <c r="AA11" i="2" s="1"/>
  <c r="AB11" i="2" s="1"/>
  <c r="P17" i="2"/>
  <c r="O76" i="2"/>
  <c r="P76" i="2" s="1"/>
  <c r="P16" i="2"/>
  <c r="R13" i="2"/>
  <c r="S13" i="2" s="1"/>
  <c r="T13" i="2" s="1"/>
  <c r="U13" i="2" s="1"/>
  <c r="V13" i="2" s="1"/>
  <c r="W13" i="2" s="1"/>
  <c r="X13" i="2" s="1"/>
  <c r="Y13" i="2" s="1"/>
  <c r="Z13" i="2" s="1"/>
  <c r="AA13" i="2" s="1"/>
  <c r="AB13" i="2" s="1"/>
  <c r="AD13" i="2" s="1"/>
  <c r="AE13" i="2" s="1"/>
  <c r="AF13" i="2" s="1"/>
  <c r="AG13" i="2" s="1"/>
  <c r="AH13" i="2" s="1"/>
  <c r="AI13" i="2" s="1"/>
  <c r="AJ13" i="2" s="1"/>
  <c r="AK13" i="2" s="1"/>
  <c r="AL13" i="2" s="1"/>
  <c r="AM13" i="2" s="1"/>
  <c r="AN13" i="2" s="1"/>
  <c r="AO13" i="2" s="1"/>
  <c r="U18" i="6"/>
  <c r="W21" i="2"/>
  <c r="X21" i="2" s="1"/>
  <c r="V18" i="6"/>
  <c r="V24" i="6"/>
  <c r="R20" i="6"/>
  <c r="U24" i="6"/>
  <c r="R17" i="6"/>
  <c r="R26" i="2"/>
  <c r="R24" i="6"/>
  <c r="R25" i="2"/>
  <c r="S22" i="2"/>
  <c r="Q23" i="6"/>
  <c r="V62" i="6"/>
  <c r="W62" i="6" s="1"/>
  <c r="T45" i="6"/>
  <c r="T100" i="2" s="1"/>
  <c r="V45" i="6"/>
  <c r="V100" i="2" s="1"/>
  <c r="W45" i="6"/>
  <c r="W100" i="2" s="1"/>
  <c r="U45" i="6"/>
  <c r="U100" i="2" s="1"/>
  <c r="T42" i="6"/>
  <c r="S27" i="2"/>
  <c r="U24" i="2"/>
  <c r="P94" i="2"/>
  <c r="P93" i="2"/>
  <c r="P95" i="2"/>
  <c r="P91" i="2"/>
  <c r="P86" i="2"/>
  <c r="E83" i="2"/>
  <c r="O83" i="2"/>
  <c r="N83" i="2"/>
  <c r="P74" i="2"/>
  <c r="P73" i="2"/>
  <c r="P75" i="2"/>
  <c r="D83" i="2"/>
  <c r="G53" i="2"/>
  <c r="G65" i="2" s="1"/>
  <c r="E53" i="2"/>
  <c r="E65" i="2" s="1"/>
  <c r="O53" i="2"/>
  <c r="O65" i="2" s="1"/>
  <c r="H32" i="2"/>
  <c r="E32" i="2"/>
  <c r="M51" i="2"/>
  <c r="M63" i="2" s="1"/>
  <c r="D70" i="6"/>
  <c r="D61" i="6" s="1"/>
  <c r="D102" i="2" s="1"/>
  <c r="D103" i="2" s="1"/>
  <c r="D162" i="2" s="1"/>
  <c r="I50" i="6"/>
  <c r="G59" i="6"/>
  <c r="G52" i="6" s="1"/>
  <c r="E50" i="6"/>
  <c r="F59" i="6"/>
  <c r="M50" i="6"/>
  <c r="K42" i="6"/>
  <c r="L42" i="6" s="1"/>
  <c r="M42" i="6" s="1"/>
  <c r="N42" i="6" s="1"/>
  <c r="O42" i="6" s="1"/>
  <c r="M45" i="6"/>
  <c r="K50" i="6"/>
  <c r="K45" i="6" s="1"/>
  <c r="E70" i="6"/>
  <c r="E61" i="6" s="1"/>
  <c r="E102" i="2" s="1"/>
  <c r="E103" i="2" s="1"/>
  <c r="E162" i="2" s="1"/>
  <c r="J41" i="6"/>
  <c r="I45" i="6"/>
  <c r="E45" i="6"/>
  <c r="I59" i="6"/>
  <c r="H59" i="6"/>
  <c r="H52" i="6" s="1"/>
  <c r="F63" i="6"/>
  <c r="E59" i="6"/>
  <c r="E52" i="6" s="1"/>
  <c r="L50" i="6"/>
  <c r="L45" i="6" s="1"/>
  <c r="F52" i="6"/>
  <c r="J50" i="6"/>
  <c r="J45" i="6" s="1"/>
  <c r="H50" i="6"/>
  <c r="H45" i="6" s="1"/>
  <c r="D50" i="6"/>
  <c r="D45" i="6" s="1"/>
  <c r="D59" i="6"/>
  <c r="D52" i="6" s="1"/>
  <c r="G50" i="6"/>
  <c r="G45" i="6" s="1"/>
  <c r="O50" i="6"/>
  <c r="O45" i="6" s="1"/>
  <c r="O59" i="6"/>
  <c r="O52" i="6" s="1"/>
  <c r="I52" i="6"/>
  <c r="E31" i="6"/>
  <c r="E88" i="2" s="1"/>
  <c r="F50" i="6"/>
  <c r="F45" i="6" s="1"/>
  <c r="N59" i="6"/>
  <c r="N52" i="6" s="1"/>
  <c r="M59" i="6"/>
  <c r="M52" i="6" s="1"/>
  <c r="L59" i="6"/>
  <c r="L52" i="6" s="1"/>
  <c r="K59" i="6"/>
  <c r="K52" i="6" s="1"/>
  <c r="N50" i="6"/>
  <c r="N45" i="6" s="1"/>
  <c r="J59" i="6"/>
  <c r="J52" i="6" s="1"/>
  <c r="I32" i="6"/>
  <c r="I89" i="2" s="1"/>
  <c r="K43" i="6"/>
  <c r="K41" i="6" s="1"/>
  <c r="J30" i="6"/>
  <c r="E30" i="6"/>
  <c r="G30" i="6"/>
  <c r="D30" i="6"/>
  <c r="I31" i="6"/>
  <c r="I88" i="2" s="1"/>
  <c r="H32" i="6"/>
  <c r="H89" i="2" s="1"/>
  <c r="F31" i="6"/>
  <c r="F88" i="2" s="1"/>
  <c r="E32" i="6"/>
  <c r="E89" i="2" s="1"/>
  <c r="O30" i="6"/>
  <c r="K31" i="6"/>
  <c r="K88" i="2" s="1"/>
  <c r="G32" i="6"/>
  <c r="G89" i="2" s="1"/>
  <c r="N30" i="6"/>
  <c r="J31" i="6"/>
  <c r="J88" i="2" s="1"/>
  <c r="F32" i="6"/>
  <c r="F89" i="2" s="1"/>
  <c r="L30" i="6"/>
  <c r="H31" i="6"/>
  <c r="H88" i="2" s="1"/>
  <c r="G31" i="6"/>
  <c r="G88" i="2" s="1"/>
  <c r="H30" i="6"/>
  <c r="D32" i="6"/>
  <c r="D89" i="2" s="1"/>
  <c r="M30" i="6"/>
  <c r="I30" i="6"/>
  <c r="O32" i="6"/>
  <c r="O89" i="2" s="1"/>
  <c r="F30" i="6"/>
  <c r="F87" i="2" s="1"/>
  <c r="D31" i="6"/>
  <c r="D88" i="2" s="1"/>
  <c r="L32" i="6"/>
  <c r="L89" i="2" s="1"/>
  <c r="N32" i="6"/>
  <c r="N89" i="2" s="1"/>
  <c r="M32" i="6"/>
  <c r="M89" i="2" s="1"/>
  <c r="O31" i="6"/>
  <c r="O88" i="2" s="1"/>
  <c r="K32" i="6"/>
  <c r="K89" i="2" s="1"/>
  <c r="L31" i="6"/>
  <c r="L88" i="2" s="1"/>
  <c r="K30" i="6"/>
  <c r="N31" i="6"/>
  <c r="N88" i="2" s="1"/>
  <c r="J32" i="6"/>
  <c r="J89" i="2" s="1"/>
  <c r="M31" i="6"/>
  <c r="M88" i="2" s="1"/>
  <c r="F13" i="6"/>
  <c r="G13" i="6"/>
  <c r="H13" i="6"/>
  <c r="N6" i="6"/>
  <c r="N5" i="6"/>
  <c r="P5" i="6" s="1"/>
  <c r="N8" i="6"/>
  <c r="N9" i="6"/>
  <c r="N7" i="6"/>
  <c r="N11" i="6"/>
  <c r="N10" i="6"/>
  <c r="I8" i="6"/>
  <c r="M8" i="6" s="1"/>
  <c r="I9" i="6"/>
  <c r="M9" i="6" s="1"/>
  <c r="Q9" i="6" s="1"/>
  <c r="N12" i="6"/>
  <c r="P4" i="6"/>
  <c r="Q4" i="6"/>
  <c r="I6" i="6"/>
  <c r="Q5" i="6"/>
  <c r="I10" i="6"/>
  <c r="M10" i="6" s="1"/>
  <c r="I12" i="6"/>
  <c r="M12" i="6" s="1"/>
  <c r="I11" i="6"/>
  <c r="M11" i="6" s="1"/>
  <c r="I7" i="6"/>
  <c r="M7" i="6" s="1"/>
  <c r="AF48" i="6" l="1"/>
  <c r="AE50" i="6"/>
  <c r="AE45" i="6" s="1"/>
  <c r="AE100" i="2" s="1"/>
  <c r="T59" i="6"/>
  <c r="T52" i="6" s="1"/>
  <c r="T101" i="2" s="1"/>
  <c r="U53" i="6"/>
  <c r="O169" i="2"/>
  <c r="P169" i="2" s="1"/>
  <c r="D168" i="2"/>
  <c r="R66" i="2"/>
  <c r="X18" i="6"/>
  <c r="Y21" i="2"/>
  <c r="AD12" i="2"/>
  <c r="AE12" i="2" s="1"/>
  <c r="AF12" i="2" s="1"/>
  <c r="AG12" i="2" s="1"/>
  <c r="AH12" i="2" s="1"/>
  <c r="AI12" i="2" s="1"/>
  <c r="AJ12" i="2" s="1"/>
  <c r="AK12" i="2" s="1"/>
  <c r="AL12" i="2" s="1"/>
  <c r="AM12" i="2" s="1"/>
  <c r="AN12" i="2" s="1"/>
  <c r="AO12" i="2" s="1"/>
  <c r="F109" i="2"/>
  <c r="AD11" i="2"/>
  <c r="AE11" i="2" s="1"/>
  <c r="AF11" i="2" s="1"/>
  <c r="AG11" i="2" s="1"/>
  <c r="AH11" i="2" s="1"/>
  <c r="AI11" i="2" s="1"/>
  <c r="AJ11" i="2" s="1"/>
  <c r="AK11" i="2" s="1"/>
  <c r="AL11" i="2" s="1"/>
  <c r="AM11" i="2" s="1"/>
  <c r="AN11" i="2" s="1"/>
  <c r="AO11" i="2" s="1"/>
  <c r="G132" i="2"/>
  <c r="N222" i="2"/>
  <c r="N141" i="2"/>
  <c r="N146" i="2" s="1"/>
  <c r="K222" i="2"/>
  <c r="K141" i="2"/>
  <c r="K146" i="2" s="1"/>
  <c r="K189" i="2" s="1"/>
  <c r="L222" i="2"/>
  <c r="L141" i="2"/>
  <c r="L146" i="2" s="1"/>
  <c r="M222" i="2"/>
  <c r="M141" i="2"/>
  <c r="M146" i="2" s="1"/>
  <c r="G141" i="2"/>
  <c r="G146" i="2" s="1"/>
  <c r="G222" i="2"/>
  <c r="I222" i="2"/>
  <c r="I141" i="2"/>
  <c r="I146" i="2" s="1"/>
  <c r="J222" i="2"/>
  <c r="J141" i="2"/>
  <c r="J146" i="2" s="1"/>
  <c r="E141" i="2"/>
  <c r="E146" i="2" s="1"/>
  <c r="E222" i="2"/>
  <c r="D141" i="2"/>
  <c r="D146" i="2" s="1"/>
  <c r="D189" i="2" s="1"/>
  <c r="D222" i="2"/>
  <c r="H141" i="2"/>
  <c r="H146" i="2" s="1"/>
  <c r="H189" i="2" s="1"/>
  <c r="F141" i="2"/>
  <c r="F146" i="2" s="1"/>
  <c r="AJ27" i="2"/>
  <c r="AF24" i="6"/>
  <c r="AJ24" i="2"/>
  <c r="AI23" i="2"/>
  <c r="AF20" i="6"/>
  <c r="AF21" i="6"/>
  <c r="AJ21" i="2"/>
  <c r="AH20" i="2"/>
  <c r="X27" i="2"/>
  <c r="X22" i="2"/>
  <c r="W18" i="6"/>
  <c r="S20" i="6"/>
  <c r="S19" i="6"/>
  <c r="S21" i="2"/>
  <c r="R59" i="2"/>
  <c r="S17" i="6"/>
  <c r="S58" i="2"/>
  <c r="F48" i="2"/>
  <c r="F60" i="2" s="1"/>
  <c r="R48" i="2"/>
  <c r="R60" i="2" s="1"/>
  <c r="D35" i="6"/>
  <c r="D92" i="2" s="1"/>
  <c r="D87" i="2"/>
  <c r="D171" i="2" s="1"/>
  <c r="E171" i="2" s="1"/>
  <c r="F171" i="2" s="1"/>
  <c r="G171" i="2" s="1"/>
  <c r="I171" i="2" s="1"/>
  <c r="J171" i="2" s="1"/>
  <c r="K171" i="2" s="1"/>
  <c r="L171" i="2" s="1"/>
  <c r="M171" i="2" s="1"/>
  <c r="N171" i="2" s="1"/>
  <c r="O171" i="2" s="1"/>
  <c r="P171" i="2" s="1"/>
  <c r="G35" i="6"/>
  <c r="G92" i="2" s="1"/>
  <c r="G87" i="2"/>
  <c r="I35" i="6"/>
  <c r="I92" i="2" s="1"/>
  <c r="I87" i="2"/>
  <c r="E35" i="6"/>
  <c r="E92" i="2" s="1"/>
  <c r="E87" i="2"/>
  <c r="H35" i="6"/>
  <c r="H92" i="2" s="1"/>
  <c r="H87" i="2"/>
  <c r="K48" i="2"/>
  <c r="K60" i="2" s="1"/>
  <c r="G48" i="2"/>
  <c r="G60" i="2" s="1"/>
  <c r="Q48" i="2"/>
  <c r="Q60" i="2" s="1"/>
  <c r="H48" i="2"/>
  <c r="H60" i="2" s="1"/>
  <c r="O48" i="2"/>
  <c r="O60" i="2" s="1"/>
  <c r="Q50" i="2"/>
  <c r="Q62" i="2" s="1"/>
  <c r="L48" i="2"/>
  <c r="L60" i="2" s="1"/>
  <c r="E50" i="2"/>
  <c r="E62" i="2" s="1"/>
  <c r="R50" i="2"/>
  <c r="R62" i="2" s="1"/>
  <c r="D49" i="2"/>
  <c r="D61" i="2" s="1"/>
  <c r="N49" i="2"/>
  <c r="N61" i="2" s="1"/>
  <c r="O33" i="2"/>
  <c r="R49" i="2"/>
  <c r="R61" i="2" s="1"/>
  <c r="G49" i="2"/>
  <c r="G61" i="2" s="1"/>
  <c r="F50" i="2"/>
  <c r="F62" i="2" s="1"/>
  <c r="N50" i="2"/>
  <c r="N62" i="2" s="1"/>
  <c r="D50" i="2"/>
  <c r="D62" i="2" s="1"/>
  <c r="L49" i="2"/>
  <c r="L61" i="2" s="1"/>
  <c r="E49" i="2"/>
  <c r="E61" i="2" s="1"/>
  <c r="L50" i="2"/>
  <c r="L62" i="2" s="1"/>
  <c r="G33" i="2"/>
  <c r="Q49" i="2"/>
  <c r="Q61" i="2" s="1"/>
  <c r="K49" i="2"/>
  <c r="K61" i="2" s="1"/>
  <c r="E33" i="2"/>
  <c r="I49" i="2"/>
  <c r="I61" i="2" s="1"/>
  <c r="G50" i="2"/>
  <c r="G62" i="2" s="1"/>
  <c r="H33" i="2"/>
  <c r="H49" i="2"/>
  <c r="H61" i="2" s="1"/>
  <c r="O50" i="2"/>
  <c r="O62" i="2" s="1"/>
  <c r="D48" i="2"/>
  <c r="D60" i="2" s="1"/>
  <c r="J50" i="2"/>
  <c r="J62" i="2" s="1"/>
  <c r="M49" i="2"/>
  <c r="M61" i="2" s="1"/>
  <c r="M33" i="2"/>
  <c r="J49" i="2"/>
  <c r="J61" i="2" s="1"/>
  <c r="H50" i="2"/>
  <c r="H62" i="2" s="1"/>
  <c r="I50" i="2"/>
  <c r="I62" i="2" s="1"/>
  <c r="D33" i="2"/>
  <c r="F33" i="2"/>
  <c r="I33" i="2"/>
  <c r="I48" i="2"/>
  <c r="I60" i="2" s="1"/>
  <c r="J33" i="2"/>
  <c r="R51" i="2"/>
  <c r="R63" i="2" s="1"/>
  <c r="K33" i="2"/>
  <c r="M48" i="2"/>
  <c r="M60" i="2" s="1"/>
  <c r="O49" i="2"/>
  <c r="O61" i="2" s="1"/>
  <c r="E48" i="2"/>
  <c r="E60" i="2" s="1"/>
  <c r="I46" i="2"/>
  <c r="I58" i="2" s="1"/>
  <c r="P47" i="2"/>
  <c r="J46" i="2"/>
  <c r="J58" i="2" s="1"/>
  <c r="L46" i="2"/>
  <c r="L58" i="2" s="1"/>
  <c r="M46" i="2"/>
  <c r="M58" i="2" s="1"/>
  <c r="N46" i="2"/>
  <c r="N58" i="2" s="1"/>
  <c r="K46" i="2"/>
  <c r="K58" i="2" s="1"/>
  <c r="P52" i="2"/>
  <c r="O46" i="2"/>
  <c r="O58" i="2" s="1"/>
  <c r="Q51" i="2"/>
  <c r="Q63" i="2" s="1"/>
  <c r="G46" i="2"/>
  <c r="G58" i="2" s="1"/>
  <c r="R46" i="2"/>
  <c r="R58" i="2" s="1"/>
  <c r="E46" i="2"/>
  <c r="E58" i="2" s="1"/>
  <c r="D46" i="2"/>
  <c r="D58" i="2" s="1"/>
  <c r="Q46" i="2"/>
  <c r="Q58" i="2" s="1"/>
  <c r="N33" i="2"/>
  <c r="AN33" i="2"/>
  <c r="X33" i="2"/>
  <c r="AM33" i="2"/>
  <c r="Y33" i="2"/>
  <c r="Q33" i="2"/>
  <c r="Z33" i="2"/>
  <c r="AK33" i="2"/>
  <c r="AA33" i="2"/>
  <c r="AB33" i="2"/>
  <c r="AI33" i="2"/>
  <c r="AH33" i="2"/>
  <c r="AG33" i="2"/>
  <c r="AF33" i="2"/>
  <c r="AE33" i="2"/>
  <c r="AD33" i="2"/>
  <c r="R33" i="2"/>
  <c r="S33" i="2"/>
  <c r="T33" i="2"/>
  <c r="U33" i="2"/>
  <c r="V33" i="2"/>
  <c r="AO33" i="2"/>
  <c r="W33" i="2"/>
  <c r="AL33" i="2"/>
  <c r="AJ33" i="2"/>
  <c r="H46" i="2"/>
  <c r="H58" i="2" s="1"/>
  <c r="J48" i="2"/>
  <c r="J60" i="2" s="1"/>
  <c r="F110" i="2"/>
  <c r="F111" i="2" s="1"/>
  <c r="F185" i="2" s="1"/>
  <c r="G110" i="2"/>
  <c r="O79" i="2"/>
  <c r="H132" i="2"/>
  <c r="E133" i="2"/>
  <c r="E134" i="2" s="1"/>
  <c r="I136" i="2"/>
  <c r="H110" i="2"/>
  <c r="F197" i="2"/>
  <c r="F201" i="2" s="1"/>
  <c r="Q69" i="6"/>
  <c r="AI21" i="6"/>
  <c r="F137" i="2"/>
  <c r="G137" i="2" s="1"/>
  <c r="H137" i="2" s="1"/>
  <c r="E111" i="2"/>
  <c r="E185" i="2" s="1"/>
  <c r="AH20" i="6"/>
  <c r="D134" i="2"/>
  <c r="AP13" i="2"/>
  <c r="S153" i="2"/>
  <c r="T153" i="2" s="1"/>
  <c r="P153" i="2"/>
  <c r="AI20" i="6"/>
  <c r="AJ23" i="2"/>
  <c r="AF19" i="6"/>
  <c r="AI24" i="6"/>
  <c r="AG17" i="6"/>
  <c r="AD18" i="6"/>
  <c r="AE21" i="2"/>
  <c r="AJ21" i="6"/>
  <c r="AG46" i="6"/>
  <c r="AF62" i="6"/>
  <c r="AF43" i="6"/>
  <c r="AF41" i="6" s="1"/>
  <c r="AF99" i="2" s="1"/>
  <c r="AG42" i="6"/>
  <c r="H152" i="2"/>
  <c r="H109" i="2"/>
  <c r="C123" i="2"/>
  <c r="C138" i="2" s="1"/>
  <c r="Q34" i="6"/>
  <c r="Q91" i="2" s="1"/>
  <c r="R18" i="6"/>
  <c r="AC13" i="2"/>
  <c r="R17" i="2"/>
  <c r="R75" i="2" s="1"/>
  <c r="R219" i="2" s="1"/>
  <c r="Q38" i="6"/>
  <c r="Q95" i="2" s="1"/>
  <c r="Q83" i="2"/>
  <c r="Q31" i="6"/>
  <c r="Q88" i="2" s="1"/>
  <c r="Q74" i="2"/>
  <c r="Q219" i="2" s="1"/>
  <c r="S17" i="2"/>
  <c r="S75" i="2" s="1"/>
  <c r="S219" i="2" s="1"/>
  <c r="T9" i="2"/>
  <c r="R25" i="6"/>
  <c r="S28" i="2"/>
  <c r="R15" i="2"/>
  <c r="R73" i="2" s="1"/>
  <c r="AC12" i="2"/>
  <c r="Q32" i="6"/>
  <c r="Q89" i="2" s="1"/>
  <c r="P220" i="2"/>
  <c r="R83" i="2"/>
  <c r="Q73" i="2"/>
  <c r="AC11" i="2"/>
  <c r="T16" i="2"/>
  <c r="T74" i="2" s="1"/>
  <c r="U8" i="2"/>
  <c r="S54" i="2"/>
  <c r="S66" i="2" s="1"/>
  <c r="S47" i="2"/>
  <c r="S50" i="2"/>
  <c r="S62" i="2" s="1"/>
  <c r="S46" i="2"/>
  <c r="S49" i="2"/>
  <c r="S61" i="2" s="1"/>
  <c r="S53" i="2"/>
  <c r="S65" i="2" s="1"/>
  <c r="S52" i="2"/>
  <c r="S82" i="2"/>
  <c r="S81" i="2"/>
  <c r="S15" i="2"/>
  <c r="S73" i="2" s="1"/>
  <c r="S48" i="2"/>
  <c r="S60" i="2" s="1"/>
  <c r="T7" i="2"/>
  <c r="R76" i="2"/>
  <c r="S51" i="2"/>
  <c r="S16" i="2"/>
  <c r="S74" i="2" s="1"/>
  <c r="S18" i="6"/>
  <c r="T17" i="6"/>
  <c r="V23" i="2"/>
  <c r="U20" i="6"/>
  <c r="R22" i="6"/>
  <c r="S25" i="2"/>
  <c r="Q36" i="6"/>
  <c r="Q93" i="2" s="1"/>
  <c r="Q37" i="6"/>
  <c r="Q94" i="2" s="1"/>
  <c r="V24" i="2"/>
  <c r="U21" i="6"/>
  <c r="Q29" i="6"/>
  <c r="Q33" i="6"/>
  <c r="Q90" i="2" s="1"/>
  <c r="S24" i="6"/>
  <c r="S26" i="2"/>
  <c r="R23" i="6"/>
  <c r="Q30" i="6"/>
  <c r="Q87" i="2" s="1"/>
  <c r="Q171" i="2" s="1"/>
  <c r="X62" i="6"/>
  <c r="AA45" i="6"/>
  <c r="AA100" i="2" s="1"/>
  <c r="Y45" i="6"/>
  <c r="Y100" i="2" s="1"/>
  <c r="X45" i="6"/>
  <c r="X100" i="2" s="1"/>
  <c r="T41" i="6"/>
  <c r="T99" i="2" s="1"/>
  <c r="U42" i="6"/>
  <c r="L35" i="6"/>
  <c r="L92" i="2" s="1"/>
  <c r="L87" i="2"/>
  <c r="P88" i="2"/>
  <c r="M35" i="6"/>
  <c r="M92" i="2" s="1"/>
  <c r="M87" i="2"/>
  <c r="O35" i="6"/>
  <c r="O92" i="2" s="1"/>
  <c r="O87" i="2"/>
  <c r="K35" i="6"/>
  <c r="K92" i="2" s="1"/>
  <c r="K87" i="2"/>
  <c r="N35" i="6"/>
  <c r="N92" i="2" s="1"/>
  <c r="N87" i="2"/>
  <c r="P89" i="2"/>
  <c r="J35" i="6"/>
  <c r="J92" i="2" s="1"/>
  <c r="J87" i="2"/>
  <c r="P83" i="2"/>
  <c r="P53" i="2"/>
  <c r="D51" i="2"/>
  <c r="D63" i="2" s="1"/>
  <c r="S19" i="5"/>
  <c r="K51" i="2"/>
  <c r="K63" i="2" s="1"/>
  <c r="L51" i="2"/>
  <c r="L63" i="2" s="1"/>
  <c r="O51" i="2"/>
  <c r="O63" i="2" s="1"/>
  <c r="E51" i="2"/>
  <c r="E63" i="2" s="1"/>
  <c r="F51" i="2"/>
  <c r="F63" i="2" s="1"/>
  <c r="G51" i="2"/>
  <c r="G63" i="2" s="1"/>
  <c r="N51" i="2"/>
  <c r="N63" i="2" s="1"/>
  <c r="J51" i="2"/>
  <c r="J63" i="2" s="1"/>
  <c r="I51" i="2"/>
  <c r="I63" i="2" s="1"/>
  <c r="H51" i="2"/>
  <c r="H63" i="2" s="1"/>
  <c r="L43" i="6"/>
  <c r="L41" i="6"/>
  <c r="D11" i="5"/>
  <c r="E11" i="5" s="1"/>
  <c r="T11" i="5"/>
  <c r="U11" i="5" s="1"/>
  <c r="L11" i="5"/>
  <c r="M11" i="5" s="1"/>
  <c r="T15" i="5"/>
  <c r="U15" i="5" s="1"/>
  <c r="D15" i="5"/>
  <c r="L15" i="5"/>
  <c r="M15" i="5" s="1"/>
  <c r="L10" i="5"/>
  <c r="M10" i="5" s="1"/>
  <c r="T10" i="5"/>
  <c r="U10" i="5" s="1"/>
  <c r="D10" i="5"/>
  <c r="F70" i="6"/>
  <c r="F61" i="6" s="1"/>
  <c r="F102" i="2" s="1"/>
  <c r="F103" i="2" s="1"/>
  <c r="F162" i="2" s="1"/>
  <c r="G63" i="6"/>
  <c r="F35" i="6"/>
  <c r="F92" i="2" s="1"/>
  <c r="M43" i="6"/>
  <c r="M41" i="6" s="1"/>
  <c r="P8" i="6"/>
  <c r="O33" i="6"/>
  <c r="E33" i="6"/>
  <c r="F33" i="6"/>
  <c r="F90" i="2" s="1"/>
  <c r="H33" i="6"/>
  <c r="G33" i="6"/>
  <c r="I33" i="6"/>
  <c r="J33" i="6"/>
  <c r="L33" i="6"/>
  <c r="N33" i="6"/>
  <c r="K33" i="6"/>
  <c r="M33" i="6"/>
  <c r="D33" i="6"/>
  <c r="Q8" i="6"/>
  <c r="P9" i="6"/>
  <c r="M6" i="6"/>
  <c r="M13" i="6" s="1"/>
  <c r="I13" i="6"/>
  <c r="Q11" i="6"/>
  <c r="P11" i="6"/>
  <c r="P7" i="6"/>
  <c r="Q7" i="6"/>
  <c r="Q12" i="6"/>
  <c r="P12" i="6"/>
  <c r="P10" i="6"/>
  <c r="Q10" i="6"/>
  <c r="AG48" i="6" l="1"/>
  <c r="AF50" i="6"/>
  <c r="AF45" i="6" s="1"/>
  <c r="AF100" i="2" s="1"/>
  <c r="V53" i="6"/>
  <c r="U59" i="6"/>
  <c r="U52" i="6" s="1"/>
  <c r="U101" i="2" s="1"/>
  <c r="L189" i="2"/>
  <c r="M189" i="2"/>
  <c r="N189" i="2"/>
  <c r="Z21" i="2"/>
  <c r="Y18" i="6"/>
  <c r="G109" i="2"/>
  <c r="G111" i="2" s="1"/>
  <c r="G185" i="2" s="1"/>
  <c r="E189" i="2"/>
  <c r="H197" i="2"/>
  <c r="H201" i="2" s="1"/>
  <c r="J189" i="2"/>
  <c r="F96" i="2"/>
  <c r="F221" i="2" s="1"/>
  <c r="S63" i="2"/>
  <c r="I189" i="2"/>
  <c r="S59" i="2"/>
  <c r="F133" i="2"/>
  <c r="AP12" i="2"/>
  <c r="F168" i="2"/>
  <c r="F170" i="2" s="1"/>
  <c r="S64" i="2"/>
  <c r="AP11" i="2"/>
  <c r="G197" i="2"/>
  <c r="G201" i="2" s="1"/>
  <c r="R169" i="2"/>
  <c r="O222" i="2"/>
  <c r="O141" i="2"/>
  <c r="Q79" i="2"/>
  <c r="Q169" i="2"/>
  <c r="F189" i="2"/>
  <c r="G189" i="2"/>
  <c r="AK27" i="2"/>
  <c r="AK24" i="2"/>
  <c r="AK23" i="2"/>
  <c r="AK21" i="2"/>
  <c r="AJ18" i="6"/>
  <c r="AI20" i="2"/>
  <c r="Y27" i="2"/>
  <c r="X24" i="6"/>
  <c r="Y22" i="2"/>
  <c r="X19" i="6"/>
  <c r="I28" i="6"/>
  <c r="I90" i="2"/>
  <c r="I96" i="2" s="1"/>
  <c r="I221" i="2" s="1"/>
  <c r="H28" i="6"/>
  <c r="H90" i="2"/>
  <c r="H96" i="2" s="1"/>
  <c r="H221" i="2" s="1"/>
  <c r="G28" i="6"/>
  <c r="G90" i="2"/>
  <c r="G96" i="2" s="1"/>
  <c r="G221" i="2" s="1"/>
  <c r="E28" i="6"/>
  <c r="E90" i="2"/>
  <c r="E96" i="2" s="1"/>
  <c r="D28" i="6"/>
  <c r="D90" i="2"/>
  <c r="D96" i="2" s="1"/>
  <c r="P50" i="2"/>
  <c r="P48" i="2"/>
  <c r="P49" i="2"/>
  <c r="P46" i="2"/>
  <c r="Q34" i="2"/>
  <c r="AN34" i="2"/>
  <c r="AM34" i="2"/>
  <c r="R34" i="2"/>
  <c r="AL34" i="2"/>
  <c r="S34" i="2"/>
  <c r="AK34" i="2"/>
  <c r="T34" i="2"/>
  <c r="AJ34" i="2"/>
  <c r="U34" i="2"/>
  <c r="AI34" i="2"/>
  <c r="V34" i="2"/>
  <c r="AH34" i="2"/>
  <c r="W34" i="2"/>
  <c r="Z34" i="2"/>
  <c r="AG34" i="2"/>
  <c r="X34" i="2"/>
  <c r="AF34" i="2"/>
  <c r="Y34" i="2"/>
  <c r="AE34" i="2"/>
  <c r="AD34" i="2"/>
  <c r="AA34" i="2"/>
  <c r="AB34" i="2"/>
  <c r="AO34" i="2"/>
  <c r="Q55" i="2"/>
  <c r="Q67" i="2" s="1"/>
  <c r="R55" i="2"/>
  <c r="R67" i="2" s="1"/>
  <c r="S55" i="2"/>
  <c r="S67" i="2" s="1"/>
  <c r="I132" i="2"/>
  <c r="I197" i="2" s="1"/>
  <c r="I201" i="2" s="1"/>
  <c r="R79" i="2"/>
  <c r="R69" i="6"/>
  <c r="R70" i="6" s="1"/>
  <c r="R61" i="6" s="1"/>
  <c r="R102" i="2" s="1"/>
  <c r="H111" i="2"/>
  <c r="H185" i="2" s="1"/>
  <c r="J136" i="2"/>
  <c r="I110" i="2"/>
  <c r="Q70" i="6"/>
  <c r="Q61" i="6" s="1"/>
  <c r="Q102" i="2" s="1"/>
  <c r="C125" i="2"/>
  <c r="C183" i="2" s="1"/>
  <c r="C195" i="2" s="1"/>
  <c r="C211" i="2" s="1"/>
  <c r="C214" i="2" s="1"/>
  <c r="C215" i="2" s="1"/>
  <c r="P213" i="2" s="1"/>
  <c r="R220" i="2"/>
  <c r="U153" i="2"/>
  <c r="V153" i="2" s="1"/>
  <c r="W153" i="2" s="1"/>
  <c r="AJ20" i="6"/>
  <c r="AG19" i="6"/>
  <c r="AH22" i="2"/>
  <c r="AJ24" i="6"/>
  <c r="AH17" i="6"/>
  <c r="AF21" i="2"/>
  <c r="AE18" i="6"/>
  <c r="AK21" i="6"/>
  <c r="AG62" i="6"/>
  <c r="AH46" i="6"/>
  <c r="AH42" i="6"/>
  <c r="AI42" i="6" s="1"/>
  <c r="AG43" i="6"/>
  <c r="AG41" i="6" s="1"/>
  <c r="AG99" i="2" s="1"/>
  <c r="I152" i="2"/>
  <c r="C139" i="2"/>
  <c r="D138" i="2"/>
  <c r="P79" i="2"/>
  <c r="P222" i="2" s="1"/>
  <c r="J132" i="2"/>
  <c r="S83" i="2"/>
  <c r="T28" i="2"/>
  <c r="S25" i="6"/>
  <c r="V8" i="2"/>
  <c r="U16" i="2"/>
  <c r="U74" i="2" s="1"/>
  <c r="Q220" i="2"/>
  <c r="T17" i="2"/>
  <c r="T75" i="2" s="1"/>
  <c r="U9" i="2"/>
  <c r="S76" i="2"/>
  <c r="S169" i="2" s="1"/>
  <c r="T51" i="2"/>
  <c r="T63" i="2" s="1"/>
  <c r="T54" i="2"/>
  <c r="T47" i="2"/>
  <c r="T59" i="2" s="1"/>
  <c r="T50" i="2"/>
  <c r="T62" i="2" s="1"/>
  <c r="T82" i="2"/>
  <c r="T49" i="2"/>
  <c r="T61" i="2" s="1"/>
  <c r="T53" i="2"/>
  <c r="T65" i="2" s="1"/>
  <c r="T46" i="2"/>
  <c r="T58" i="2" s="1"/>
  <c r="T52" i="2"/>
  <c r="T64" i="2" s="1"/>
  <c r="T55" i="2"/>
  <c r="T67" i="2" s="1"/>
  <c r="U7" i="2"/>
  <c r="T81" i="2"/>
  <c r="T15" i="2"/>
  <c r="T48" i="2"/>
  <c r="T60" i="2" s="1"/>
  <c r="R36" i="6"/>
  <c r="R93" i="2" s="1"/>
  <c r="R30" i="6"/>
  <c r="R87" i="2" s="1"/>
  <c r="S220" i="2"/>
  <c r="T26" i="2"/>
  <c r="S23" i="6"/>
  <c r="S22" i="6"/>
  <c r="W23" i="2"/>
  <c r="V20" i="6"/>
  <c r="R37" i="6"/>
  <c r="R94" i="2" s="1"/>
  <c r="U17" i="6"/>
  <c r="V20" i="2"/>
  <c r="R33" i="6"/>
  <c r="R90" i="2" s="1"/>
  <c r="R34" i="6"/>
  <c r="R91" i="2" s="1"/>
  <c r="Q86" i="2"/>
  <c r="Q35" i="6"/>
  <c r="Q92" i="2" s="1"/>
  <c r="R31" i="6"/>
  <c r="R88" i="2" s="1"/>
  <c r="W24" i="2"/>
  <c r="V21" i="6"/>
  <c r="R32" i="6"/>
  <c r="R89" i="2" s="1"/>
  <c r="R171" i="2" s="1"/>
  <c r="R38" i="6"/>
  <c r="R95" i="2" s="1"/>
  <c r="R29" i="6"/>
  <c r="Y62" i="6"/>
  <c r="AB45" i="6"/>
  <c r="AB100" i="2" s="1"/>
  <c r="Z45" i="6"/>
  <c r="Z100" i="2" s="1"/>
  <c r="U41" i="6"/>
  <c r="U99" i="2" s="1"/>
  <c r="K28" i="6"/>
  <c r="K90" i="2"/>
  <c r="K96" i="2" s="1"/>
  <c r="K221" i="2" s="1"/>
  <c r="M28" i="6"/>
  <c r="M90" i="2"/>
  <c r="M96" i="2" s="1"/>
  <c r="M221" i="2" s="1"/>
  <c r="N28" i="6"/>
  <c r="N90" i="2"/>
  <c r="N96" i="2" s="1"/>
  <c r="N221" i="2" s="1"/>
  <c r="L28" i="6"/>
  <c r="L90" i="2"/>
  <c r="L96" i="2" s="1"/>
  <c r="L221" i="2" s="1"/>
  <c r="O28" i="6"/>
  <c r="O90" i="2"/>
  <c r="O96" i="2" s="1"/>
  <c r="O221" i="2" s="1"/>
  <c r="P92" i="2"/>
  <c r="P87" i="2"/>
  <c r="J28" i="6"/>
  <c r="J90" i="2"/>
  <c r="J34" i="2"/>
  <c r="O34" i="2"/>
  <c r="K34" i="2"/>
  <c r="N34" i="2"/>
  <c r="E34" i="2"/>
  <c r="F34" i="2"/>
  <c r="G34" i="2"/>
  <c r="F55" i="2"/>
  <c r="F67" i="2" s="1"/>
  <c r="G55" i="2"/>
  <c r="G67" i="2" s="1"/>
  <c r="L34" i="2"/>
  <c r="M34" i="2"/>
  <c r="D34" i="2"/>
  <c r="E55" i="2"/>
  <c r="E67" i="2" s="1"/>
  <c r="H34" i="2"/>
  <c r="I34" i="2"/>
  <c r="H55" i="2"/>
  <c r="H67" i="2" s="1"/>
  <c r="J55" i="2"/>
  <c r="J67" i="2" s="1"/>
  <c r="I55" i="2"/>
  <c r="I67" i="2" s="1"/>
  <c r="D55" i="2"/>
  <c r="D67" i="2" s="1"/>
  <c r="L55" i="2"/>
  <c r="L67" i="2" s="1"/>
  <c r="O55" i="2"/>
  <c r="O67" i="2" s="1"/>
  <c r="M55" i="2"/>
  <c r="M67" i="2" s="1"/>
  <c r="N55" i="2"/>
  <c r="N67" i="2" s="1"/>
  <c r="K55" i="2"/>
  <c r="K67" i="2" s="1"/>
  <c r="P51" i="2"/>
  <c r="T14" i="5"/>
  <c r="U14" i="5" s="1"/>
  <c r="D14" i="5"/>
  <c r="L14" i="5"/>
  <c r="M14" i="5" s="1"/>
  <c r="L18" i="5"/>
  <c r="M18" i="5" s="1"/>
  <c r="T18" i="5"/>
  <c r="D18" i="5"/>
  <c r="F28" i="6"/>
  <c r="T16" i="5"/>
  <c r="U16" i="5" s="1"/>
  <c r="D16" i="5"/>
  <c r="L16" i="5"/>
  <c r="M16" i="5" s="1"/>
  <c r="E10" i="5"/>
  <c r="D37" i="2"/>
  <c r="E37" i="2" s="1"/>
  <c r="F37" i="2" s="1"/>
  <c r="G37" i="2" s="1"/>
  <c r="H37" i="2" s="1"/>
  <c r="I37" i="2" s="1"/>
  <c r="J37" i="2" s="1"/>
  <c r="K37" i="2" s="1"/>
  <c r="L37" i="2" s="1"/>
  <c r="M37" i="2" s="1"/>
  <c r="N37" i="2" s="1"/>
  <c r="O37" i="2" s="1"/>
  <c r="Q37" i="2" s="1"/>
  <c r="R37" i="2" s="1"/>
  <c r="S37" i="2" s="1"/>
  <c r="T37" i="2" s="1"/>
  <c r="U37" i="2" s="1"/>
  <c r="V37" i="2" s="1"/>
  <c r="W37" i="2" s="1"/>
  <c r="X37" i="2" s="1"/>
  <c r="Y37" i="2" s="1"/>
  <c r="Z37" i="2" s="1"/>
  <c r="AA37" i="2" s="1"/>
  <c r="AB37" i="2" s="1"/>
  <c r="AD37" i="2" s="1"/>
  <c r="AE37" i="2" s="1"/>
  <c r="AF37" i="2" s="1"/>
  <c r="AG37" i="2" s="1"/>
  <c r="AH37" i="2" s="1"/>
  <c r="AI37" i="2" s="1"/>
  <c r="AJ37" i="2" s="1"/>
  <c r="AK37" i="2" s="1"/>
  <c r="AL37" i="2" s="1"/>
  <c r="AM37" i="2" s="1"/>
  <c r="AN37" i="2" s="1"/>
  <c r="AO37" i="2" s="1"/>
  <c r="D40" i="2"/>
  <c r="E40" i="2" s="1"/>
  <c r="F40" i="2" s="1"/>
  <c r="G40" i="2" s="1"/>
  <c r="H40" i="2" s="1"/>
  <c r="I40" i="2" s="1"/>
  <c r="J40" i="2" s="1"/>
  <c r="K40" i="2" s="1"/>
  <c r="L40" i="2" s="1"/>
  <c r="M40" i="2" s="1"/>
  <c r="N40" i="2" s="1"/>
  <c r="O40" i="2" s="1"/>
  <c r="Q40" i="2" s="1"/>
  <c r="R40" i="2" s="1"/>
  <c r="S40" i="2" s="1"/>
  <c r="T40" i="2" s="1"/>
  <c r="U40" i="2" s="1"/>
  <c r="V40" i="2" s="1"/>
  <c r="W40" i="2" s="1"/>
  <c r="X40" i="2" s="1"/>
  <c r="Y40" i="2" s="1"/>
  <c r="Z40" i="2" s="1"/>
  <c r="AA40" i="2" s="1"/>
  <c r="AB40" i="2" s="1"/>
  <c r="AD40" i="2" s="1"/>
  <c r="AE40" i="2" s="1"/>
  <c r="AF40" i="2" s="1"/>
  <c r="AG40" i="2" s="1"/>
  <c r="AH40" i="2" s="1"/>
  <c r="AI40" i="2" s="1"/>
  <c r="AJ40" i="2" s="1"/>
  <c r="AK40" i="2" s="1"/>
  <c r="AL40" i="2" s="1"/>
  <c r="AM40" i="2" s="1"/>
  <c r="AN40" i="2" s="1"/>
  <c r="AO40" i="2" s="1"/>
  <c r="E15" i="5"/>
  <c r="L17" i="5"/>
  <c r="M17" i="5" s="1"/>
  <c r="T17" i="5"/>
  <c r="U17" i="5" s="1"/>
  <c r="D17" i="5"/>
  <c r="D13" i="5"/>
  <c r="E13" i="5" s="1"/>
  <c r="T13" i="5"/>
  <c r="U13" i="5" s="1"/>
  <c r="L13" i="5"/>
  <c r="M13" i="5" s="1"/>
  <c r="G70" i="6"/>
  <c r="G61" i="6" s="1"/>
  <c r="G102" i="2" s="1"/>
  <c r="G103" i="2" s="1"/>
  <c r="G162" i="2" s="1"/>
  <c r="H63" i="6"/>
  <c r="N43" i="6"/>
  <c r="N41" i="6" s="1"/>
  <c r="O43" i="6"/>
  <c r="O41" i="6" s="1"/>
  <c r="Q6" i="6"/>
  <c r="P6" i="6"/>
  <c r="AH48" i="6" l="1"/>
  <c r="AG50" i="6"/>
  <c r="AG45" i="6" s="1"/>
  <c r="AG100" i="2" s="1"/>
  <c r="AC100" i="2"/>
  <c r="W53" i="6"/>
  <c r="V59" i="6"/>
  <c r="V52" i="6"/>
  <c r="V101" i="2" s="1"/>
  <c r="AK20" i="6"/>
  <c r="I109" i="2"/>
  <c r="I111" i="2" s="1"/>
  <c r="D105" i="2"/>
  <c r="D113" i="2" s="1"/>
  <c r="D121" i="2" s="1"/>
  <c r="D123" i="2" s="1"/>
  <c r="D221" i="2"/>
  <c r="T66" i="2"/>
  <c r="F105" i="2"/>
  <c r="F106" i="2" s="1"/>
  <c r="Z18" i="6"/>
  <c r="AA21" i="2"/>
  <c r="G168" i="2"/>
  <c r="E105" i="2"/>
  <c r="E113" i="2" s="1"/>
  <c r="E121" i="2" s="1"/>
  <c r="E123" i="2" s="1"/>
  <c r="E125" i="2" s="1"/>
  <c r="E183" i="2" s="1"/>
  <c r="E221" i="2"/>
  <c r="G133" i="2"/>
  <c r="H133" i="2" s="1"/>
  <c r="J197" i="2"/>
  <c r="J201" i="2" s="1"/>
  <c r="Q222" i="2"/>
  <c r="Q141" i="2"/>
  <c r="Q146" i="2" s="1"/>
  <c r="R222" i="2"/>
  <c r="R141" i="2"/>
  <c r="R146" i="2" s="1"/>
  <c r="AI43" i="6"/>
  <c r="AJ42" i="6"/>
  <c r="AI41" i="6"/>
  <c r="AI99" i="2" s="1"/>
  <c r="AL27" i="2"/>
  <c r="AL24" i="2"/>
  <c r="AL23" i="2"/>
  <c r="AL21" i="2"/>
  <c r="AK18" i="6"/>
  <c r="AF18" i="6"/>
  <c r="AJ20" i="2"/>
  <c r="AJ17" i="6" s="1"/>
  <c r="Y24" i="6"/>
  <c r="Y19" i="6"/>
  <c r="R103" i="2"/>
  <c r="Q103" i="2"/>
  <c r="S79" i="2"/>
  <c r="I133" i="2"/>
  <c r="K136" i="2"/>
  <c r="J110" i="2"/>
  <c r="C155" i="2"/>
  <c r="D154" i="2" s="1"/>
  <c r="E154" i="2" s="1"/>
  <c r="F154" i="2" s="1"/>
  <c r="G154" i="2" s="1"/>
  <c r="H154" i="2" s="1"/>
  <c r="I154" i="2" s="1"/>
  <c r="J154" i="2" s="1"/>
  <c r="K154" i="2" s="1"/>
  <c r="L154" i="2" s="1"/>
  <c r="M154" i="2" s="1"/>
  <c r="N154" i="2" s="1"/>
  <c r="O154" i="2" s="1"/>
  <c r="I137" i="2"/>
  <c r="S69" i="6"/>
  <c r="S70" i="6" s="1"/>
  <c r="S61" i="6" s="1"/>
  <c r="S102" i="2" s="1"/>
  <c r="O146" i="2"/>
  <c r="O189" i="2" s="1"/>
  <c r="P189" i="2" s="1"/>
  <c r="P141" i="2"/>
  <c r="P146" i="2" s="1"/>
  <c r="X153" i="2"/>
  <c r="AI22" i="2"/>
  <c r="AH19" i="6"/>
  <c r="AL21" i="6"/>
  <c r="AI17" i="6"/>
  <c r="AK24" i="6"/>
  <c r="AL20" i="6"/>
  <c r="AI46" i="6"/>
  <c r="AH62" i="6"/>
  <c r="AH43" i="6"/>
  <c r="AH41" i="6" s="1"/>
  <c r="AH99" i="2" s="1"/>
  <c r="C148" i="2"/>
  <c r="C150" i="2" s="1"/>
  <c r="D213" i="2"/>
  <c r="I185" i="2"/>
  <c r="G105" i="2"/>
  <c r="F134" i="2"/>
  <c r="D125" i="2"/>
  <c r="D155" i="2" s="1"/>
  <c r="D165" i="2"/>
  <c r="D173" i="2" s="1"/>
  <c r="J152" i="2"/>
  <c r="D139" i="2"/>
  <c r="E138" i="2"/>
  <c r="S30" i="6"/>
  <c r="S87" i="2" s="1"/>
  <c r="K132" i="2"/>
  <c r="J109" i="2"/>
  <c r="Q28" i="6"/>
  <c r="S36" i="6"/>
  <c r="S93" i="2" s="1"/>
  <c r="S33" i="6"/>
  <c r="S90" i="2" s="1"/>
  <c r="U28" i="2"/>
  <c r="T25" i="6"/>
  <c r="T83" i="2"/>
  <c r="W8" i="2"/>
  <c r="V16" i="2"/>
  <c r="Q96" i="2"/>
  <c r="U17" i="2"/>
  <c r="V9" i="2"/>
  <c r="S31" i="6"/>
  <c r="S88" i="2" s="1"/>
  <c r="T73" i="2"/>
  <c r="T219" i="2" s="1"/>
  <c r="S38" i="6"/>
  <c r="S95" i="2" s="1"/>
  <c r="S32" i="6"/>
  <c r="S89" i="2" s="1"/>
  <c r="S171" i="2" s="1"/>
  <c r="S34" i="6"/>
  <c r="S91" i="2" s="1"/>
  <c r="U81" i="2"/>
  <c r="U15" i="2"/>
  <c r="U73" i="2" s="1"/>
  <c r="U48" i="2"/>
  <c r="U60" i="2" s="1"/>
  <c r="U54" i="2"/>
  <c r="U66" i="2" s="1"/>
  <c r="U46" i="2"/>
  <c r="U58" i="2" s="1"/>
  <c r="V7" i="2"/>
  <c r="U53" i="2"/>
  <c r="U65" i="2" s="1"/>
  <c r="U47" i="2"/>
  <c r="U59" i="2" s="1"/>
  <c r="U50" i="2"/>
  <c r="U62" i="2" s="1"/>
  <c r="U82" i="2"/>
  <c r="U49" i="2"/>
  <c r="U61" i="2" s="1"/>
  <c r="U52" i="2"/>
  <c r="U64" i="2" s="1"/>
  <c r="U51" i="2"/>
  <c r="U55" i="2"/>
  <c r="U67" i="2" s="1"/>
  <c r="T76" i="2"/>
  <c r="W20" i="2"/>
  <c r="V17" i="6"/>
  <c r="T22" i="6"/>
  <c r="U25" i="2"/>
  <c r="R86" i="2"/>
  <c r="R35" i="6"/>
  <c r="R92" i="2" s="1"/>
  <c r="X24" i="2"/>
  <c r="W21" i="6"/>
  <c r="S37" i="6"/>
  <c r="S94" i="2" s="1"/>
  <c r="S29" i="6"/>
  <c r="U26" i="2"/>
  <c r="T23" i="6"/>
  <c r="X23" i="2"/>
  <c r="W20" i="6"/>
  <c r="Z62" i="6"/>
  <c r="V41" i="6"/>
  <c r="V99" i="2" s="1"/>
  <c r="W42" i="6"/>
  <c r="P90" i="2"/>
  <c r="J96" i="2"/>
  <c r="J221" i="2" s="1"/>
  <c r="P55" i="2"/>
  <c r="D12" i="5"/>
  <c r="T12" i="5"/>
  <c r="U12" i="5" s="1"/>
  <c r="U19" i="5" s="1"/>
  <c r="L12" i="5"/>
  <c r="M12" i="5" s="1"/>
  <c r="M19" i="5" s="1"/>
  <c r="D43" i="2"/>
  <c r="E43" i="2" s="1"/>
  <c r="F43" i="2" s="1"/>
  <c r="G43" i="2" s="1"/>
  <c r="H43" i="2" s="1"/>
  <c r="I43" i="2" s="1"/>
  <c r="J43" i="2" s="1"/>
  <c r="K43" i="2" s="1"/>
  <c r="L43" i="2" s="1"/>
  <c r="M43" i="2" s="1"/>
  <c r="N43" i="2" s="1"/>
  <c r="O43" i="2" s="1"/>
  <c r="Q43" i="2" s="1"/>
  <c r="R43" i="2" s="1"/>
  <c r="S43" i="2" s="1"/>
  <c r="T43" i="2" s="1"/>
  <c r="U43" i="2" s="1"/>
  <c r="V43" i="2" s="1"/>
  <c r="W43" i="2" s="1"/>
  <c r="X43" i="2" s="1"/>
  <c r="Y43" i="2" s="1"/>
  <c r="Z43" i="2" s="1"/>
  <c r="AA43" i="2" s="1"/>
  <c r="AB43" i="2" s="1"/>
  <c r="AD43" i="2" s="1"/>
  <c r="AE43" i="2" s="1"/>
  <c r="AF43" i="2" s="1"/>
  <c r="AG43" i="2" s="1"/>
  <c r="AH43" i="2" s="1"/>
  <c r="AI43" i="2" s="1"/>
  <c r="AJ43" i="2" s="1"/>
  <c r="AK43" i="2" s="1"/>
  <c r="AL43" i="2" s="1"/>
  <c r="AM43" i="2" s="1"/>
  <c r="AN43" i="2" s="1"/>
  <c r="AO43" i="2" s="1"/>
  <c r="E18" i="5"/>
  <c r="E17" i="5"/>
  <c r="D42" i="2"/>
  <c r="E42" i="2" s="1"/>
  <c r="F42" i="2" s="1"/>
  <c r="G42" i="2" s="1"/>
  <c r="H42" i="2" s="1"/>
  <c r="I42" i="2" s="1"/>
  <c r="J42" i="2" s="1"/>
  <c r="K42" i="2" s="1"/>
  <c r="L42" i="2" s="1"/>
  <c r="M42" i="2" s="1"/>
  <c r="N42" i="2" s="1"/>
  <c r="O42" i="2" s="1"/>
  <c r="Q42" i="2" s="1"/>
  <c r="R42" i="2" s="1"/>
  <c r="S42" i="2" s="1"/>
  <c r="T42" i="2" s="1"/>
  <c r="U42" i="2" s="1"/>
  <c r="V42" i="2" s="1"/>
  <c r="W42" i="2" s="1"/>
  <c r="X42" i="2" s="1"/>
  <c r="Y42" i="2" s="1"/>
  <c r="Z42" i="2" s="1"/>
  <c r="AA42" i="2" s="1"/>
  <c r="AB42" i="2" s="1"/>
  <c r="AD42" i="2" s="1"/>
  <c r="AE42" i="2" s="1"/>
  <c r="AF42" i="2" s="1"/>
  <c r="AG42" i="2" s="1"/>
  <c r="AH42" i="2" s="1"/>
  <c r="AI42" i="2" s="1"/>
  <c r="AJ42" i="2" s="1"/>
  <c r="AK42" i="2" s="1"/>
  <c r="AL42" i="2" s="1"/>
  <c r="AM42" i="2" s="1"/>
  <c r="AN42" i="2" s="1"/>
  <c r="AO42" i="2" s="1"/>
  <c r="E14" i="5"/>
  <c r="D39" i="2"/>
  <c r="E39" i="2" s="1"/>
  <c r="F39" i="2" s="1"/>
  <c r="G39" i="2" s="1"/>
  <c r="H39" i="2" s="1"/>
  <c r="I39" i="2" s="1"/>
  <c r="J39" i="2" s="1"/>
  <c r="K39" i="2" s="1"/>
  <c r="L39" i="2" s="1"/>
  <c r="M39" i="2" s="1"/>
  <c r="N39" i="2" s="1"/>
  <c r="O39" i="2" s="1"/>
  <c r="Q39" i="2" s="1"/>
  <c r="R39" i="2" s="1"/>
  <c r="S39" i="2" s="1"/>
  <c r="T39" i="2" s="1"/>
  <c r="U39" i="2" s="1"/>
  <c r="V39" i="2" s="1"/>
  <c r="W39" i="2" s="1"/>
  <c r="X39" i="2" s="1"/>
  <c r="Y39" i="2" s="1"/>
  <c r="Z39" i="2" s="1"/>
  <c r="AA39" i="2" s="1"/>
  <c r="AB39" i="2" s="1"/>
  <c r="AD39" i="2" s="1"/>
  <c r="AE39" i="2" s="1"/>
  <c r="AF39" i="2" s="1"/>
  <c r="AG39" i="2" s="1"/>
  <c r="AH39" i="2" s="1"/>
  <c r="AI39" i="2" s="1"/>
  <c r="AJ39" i="2" s="1"/>
  <c r="AK39" i="2" s="1"/>
  <c r="AL39" i="2" s="1"/>
  <c r="AM39" i="2" s="1"/>
  <c r="AN39" i="2" s="1"/>
  <c r="AO39" i="2" s="1"/>
  <c r="D41" i="2"/>
  <c r="E41" i="2" s="1"/>
  <c r="F41" i="2" s="1"/>
  <c r="G41" i="2" s="1"/>
  <c r="H41" i="2" s="1"/>
  <c r="I41" i="2" s="1"/>
  <c r="J41" i="2" s="1"/>
  <c r="K41" i="2" s="1"/>
  <c r="L41" i="2" s="1"/>
  <c r="M41" i="2" s="1"/>
  <c r="N41" i="2" s="1"/>
  <c r="O41" i="2" s="1"/>
  <c r="Q41" i="2" s="1"/>
  <c r="R41" i="2" s="1"/>
  <c r="S41" i="2" s="1"/>
  <c r="T41" i="2" s="1"/>
  <c r="U41" i="2" s="1"/>
  <c r="V41" i="2" s="1"/>
  <c r="W41" i="2" s="1"/>
  <c r="X41" i="2" s="1"/>
  <c r="Y41" i="2" s="1"/>
  <c r="Z41" i="2" s="1"/>
  <c r="AA41" i="2" s="1"/>
  <c r="AB41" i="2" s="1"/>
  <c r="AD41" i="2" s="1"/>
  <c r="AE41" i="2" s="1"/>
  <c r="AF41" i="2" s="1"/>
  <c r="AG41" i="2" s="1"/>
  <c r="AH41" i="2" s="1"/>
  <c r="AI41" i="2" s="1"/>
  <c r="AJ41" i="2" s="1"/>
  <c r="AK41" i="2" s="1"/>
  <c r="AL41" i="2" s="1"/>
  <c r="AM41" i="2" s="1"/>
  <c r="AN41" i="2" s="1"/>
  <c r="AO41" i="2" s="1"/>
  <c r="E16" i="5"/>
  <c r="H70" i="6"/>
  <c r="H61" i="6" s="1"/>
  <c r="H102" i="2" s="1"/>
  <c r="I63" i="6"/>
  <c r="AI48" i="6" l="1"/>
  <c r="AH50" i="6"/>
  <c r="AH45" i="6" s="1"/>
  <c r="AH100" i="2" s="1"/>
  <c r="X53" i="6"/>
  <c r="W59" i="6"/>
  <c r="W52" i="6"/>
  <c r="W101" i="2" s="1"/>
  <c r="F113" i="2"/>
  <c r="F121" i="2" s="1"/>
  <c r="F123" i="2" s="1"/>
  <c r="F125" i="2" s="1"/>
  <c r="F183" i="2" s="1"/>
  <c r="AB21" i="2"/>
  <c r="AB18" i="6" s="1"/>
  <c r="AC21" i="2"/>
  <c r="AA18" i="6"/>
  <c r="T169" i="2"/>
  <c r="Q105" i="2"/>
  <c r="Q106" i="2" s="1"/>
  <c r="Q221" i="2"/>
  <c r="C156" i="2"/>
  <c r="C175" i="2" s="1"/>
  <c r="C177" i="2" s="1"/>
  <c r="U63" i="2"/>
  <c r="H103" i="2"/>
  <c r="H162" i="2" s="1"/>
  <c r="H168" i="2"/>
  <c r="X20" i="2"/>
  <c r="X17" i="6" s="1"/>
  <c r="R189" i="2"/>
  <c r="S222" i="2"/>
  <c r="S141" i="2"/>
  <c r="S146" i="2" s="1"/>
  <c r="S189" i="2" s="1"/>
  <c r="AK42" i="6"/>
  <c r="AJ43" i="6"/>
  <c r="AJ41" i="6" s="1"/>
  <c r="AJ99" i="2" s="1"/>
  <c r="AL18" i="6"/>
  <c r="AK20" i="2"/>
  <c r="AA27" i="2"/>
  <c r="Z24" i="6"/>
  <c r="AA22" i="2"/>
  <c r="Z19" i="6"/>
  <c r="S103" i="2"/>
  <c r="J137" i="2"/>
  <c r="T79" i="2"/>
  <c r="J111" i="2"/>
  <c r="J185" i="2" s="1"/>
  <c r="K197" i="2"/>
  <c r="K201" i="2" s="1"/>
  <c r="L136" i="2"/>
  <c r="K110" i="2"/>
  <c r="G113" i="2"/>
  <c r="G121" i="2" s="1"/>
  <c r="G123" i="2" s="1"/>
  <c r="G125" i="2" s="1"/>
  <c r="G183" i="2" s="1"/>
  <c r="G106" i="2"/>
  <c r="Q189" i="2"/>
  <c r="P154" i="2"/>
  <c r="J133" i="2"/>
  <c r="T69" i="6"/>
  <c r="Y153" i="2"/>
  <c r="AJ22" i="2"/>
  <c r="AI19" i="6"/>
  <c r="AM20" i="6"/>
  <c r="AM21" i="6"/>
  <c r="AL24" i="6"/>
  <c r="AI62" i="6"/>
  <c r="AJ46" i="6"/>
  <c r="H105" i="2"/>
  <c r="G134" i="2"/>
  <c r="E165" i="2"/>
  <c r="E173" i="2" s="1"/>
  <c r="D190" i="2"/>
  <c r="D183" i="2"/>
  <c r="K152" i="2"/>
  <c r="F138" i="2"/>
  <c r="E139" i="2"/>
  <c r="L132" i="2"/>
  <c r="K109" i="2"/>
  <c r="V74" i="2"/>
  <c r="W16" i="2"/>
  <c r="W74" i="2" s="1"/>
  <c r="X8" i="2"/>
  <c r="U75" i="2"/>
  <c r="V17" i="2"/>
  <c r="V75" i="2" s="1"/>
  <c r="V219" i="2" s="1"/>
  <c r="W9" i="2"/>
  <c r="U83" i="2"/>
  <c r="R28" i="6"/>
  <c r="T220" i="2"/>
  <c r="U25" i="6"/>
  <c r="V28" i="2"/>
  <c r="V48" i="2"/>
  <c r="V60" i="2" s="1"/>
  <c r="W7" i="2"/>
  <c r="U76" i="2"/>
  <c r="V51" i="2"/>
  <c r="V54" i="2"/>
  <c r="V66" i="2" s="1"/>
  <c r="V50" i="2"/>
  <c r="V62" i="2" s="1"/>
  <c r="V47" i="2"/>
  <c r="V59" i="2" s="1"/>
  <c r="V53" i="2"/>
  <c r="V65" i="2" s="1"/>
  <c r="V46" i="2"/>
  <c r="V58" i="2" s="1"/>
  <c r="V82" i="2"/>
  <c r="V49" i="2"/>
  <c r="V61" i="2" s="1"/>
  <c r="V81" i="2"/>
  <c r="V15" i="2"/>
  <c r="V73" i="2" s="1"/>
  <c r="V52" i="2"/>
  <c r="V64" i="2" s="1"/>
  <c r="V55" i="2"/>
  <c r="Y24" i="2"/>
  <c r="X21" i="6"/>
  <c r="R96" i="2"/>
  <c r="R221" i="2" s="1"/>
  <c r="U22" i="6"/>
  <c r="V25" i="2"/>
  <c r="W17" i="6"/>
  <c r="U23" i="6"/>
  <c r="V26" i="2"/>
  <c r="T33" i="6"/>
  <c r="T90" i="2" s="1"/>
  <c r="T30" i="6"/>
  <c r="T87" i="2" s="1"/>
  <c r="T38" i="6"/>
  <c r="T95" i="2" s="1"/>
  <c r="T37" i="6"/>
  <c r="T94" i="2" s="1"/>
  <c r="T32" i="6"/>
  <c r="T89" i="2" s="1"/>
  <c r="T171" i="2" s="1"/>
  <c r="T29" i="6"/>
  <c r="T36" i="6"/>
  <c r="T93" i="2" s="1"/>
  <c r="T34" i="6"/>
  <c r="T91" i="2" s="1"/>
  <c r="T31" i="6"/>
  <c r="T88" i="2" s="1"/>
  <c r="Y23" i="2"/>
  <c r="X20" i="6"/>
  <c r="S86" i="2"/>
  <c r="S35" i="6"/>
  <c r="S92" i="2" s="1"/>
  <c r="AA62" i="6"/>
  <c r="W41" i="6"/>
  <c r="W99" i="2" s="1"/>
  <c r="X42" i="6"/>
  <c r="P96" i="2"/>
  <c r="P221" i="2" s="1"/>
  <c r="O19" i="5"/>
  <c r="M27" i="5"/>
  <c r="M28" i="5" s="1"/>
  <c r="M30" i="5" s="1"/>
  <c r="M32" i="5" s="1"/>
  <c r="M33" i="5" s="1"/>
  <c r="U27" i="5"/>
  <c r="U28" i="5" s="1"/>
  <c r="U30" i="5" s="1"/>
  <c r="U32" i="5" s="1"/>
  <c r="U33" i="5" s="1"/>
  <c r="W19" i="5"/>
  <c r="E12" i="5"/>
  <c r="E19" i="5" s="1"/>
  <c r="D38" i="2"/>
  <c r="E38" i="2" s="1"/>
  <c r="F38" i="2" s="1"/>
  <c r="G38" i="2" s="1"/>
  <c r="H38" i="2" s="1"/>
  <c r="I38" i="2" s="1"/>
  <c r="J38" i="2" s="1"/>
  <c r="K38" i="2" s="1"/>
  <c r="L38" i="2" s="1"/>
  <c r="M38" i="2" s="1"/>
  <c r="N38" i="2" s="1"/>
  <c r="O38" i="2" s="1"/>
  <c r="Q38" i="2" s="1"/>
  <c r="R38" i="2" s="1"/>
  <c r="S38" i="2" s="1"/>
  <c r="T38" i="2" s="1"/>
  <c r="U38" i="2" s="1"/>
  <c r="V38" i="2" s="1"/>
  <c r="W38" i="2" s="1"/>
  <c r="X38" i="2" s="1"/>
  <c r="Y38" i="2" s="1"/>
  <c r="Z38" i="2" s="1"/>
  <c r="AA38" i="2" s="1"/>
  <c r="AB38" i="2" s="1"/>
  <c r="AD38" i="2" s="1"/>
  <c r="AE38" i="2" s="1"/>
  <c r="AF38" i="2" s="1"/>
  <c r="AG38" i="2" s="1"/>
  <c r="AH38" i="2" s="1"/>
  <c r="AI38" i="2" s="1"/>
  <c r="AJ38" i="2" s="1"/>
  <c r="AK38" i="2" s="1"/>
  <c r="AL38" i="2" s="1"/>
  <c r="AM38" i="2" s="1"/>
  <c r="AN38" i="2" s="1"/>
  <c r="AO38" i="2" s="1"/>
  <c r="I70" i="6"/>
  <c r="I61" i="6" s="1"/>
  <c r="I102" i="2" s="1"/>
  <c r="J63" i="6"/>
  <c r="AJ48" i="6" l="1"/>
  <c r="AI50" i="6"/>
  <c r="AI45" i="6" s="1"/>
  <c r="AI100" i="2" s="1"/>
  <c r="X59" i="6"/>
  <c r="Y53" i="6"/>
  <c r="X52" i="6"/>
  <c r="X101" i="2" s="1"/>
  <c r="U220" i="2"/>
  <c r="U219" i="2"/>
  <c r="V63" i="2"/>
  <c r="L197" i="2"/>
  <c r="L201" i="2" s="1"/>
  <c r="V67" i="2"/>
  <c r="I103" i="2"/>
  <c r="I162" i="2" s="1"/>
  <c r="I168" i="2"/>
  <c r="I170" i="2" s="1"/>
  <c r="U169" i="2"/>
  <c r="T222" i="2"/>
  <c r="T141" i="2"/>
  <c r="T146" i="2" s="1"/>
  <c r="T189" i="2" s="1"/>
  <c r="AL42" i="6"/>
  <c r="AK43" i="6"/>
  <c r="AK41" i="6" s="1"/>
  <c r="AK99" i="2" s="1"/>
  <c r="AN27" i="2"/>
  <c r="AN24" i="2"/>
  <c r="AN21" i="6" s="1"/>
  <c r="AN23" i="2"/>
  <c r="AN21" i="2"/>
  <c r="AM18" i="6"/>
  <c r="AL20" i="2"/>
  <c r="AK17" i="6"/>
  <c r="AB27" i="2"/>
  <c r="AC27" i="2" s="1"/>
  <c r="AA24" i="6"/>
  <c r="AB22" i="2"/>
  <c r="AC22" i="2" s="1"/>
  <c r="AA19" i="6"/>
  <c r="U79" i="2"/>
  <c r="M136" i="2"/>
  <c r="L110" i="2"/>
  <c r="H113" i="2"/>
  <c r="H121" i="2" s="1"/>
  <c r="H123" i="2" s="1"/>
  <c r="H125" i="2" s="1"/>
  <c r="H183" i="2" s="1"/>
  <c r="H106" i="2"/>
  <c r="K137" i="2"/>
  <c r="L137" i="2" s="1"/>
  <c r="T70" i="6"/>
  <c r="T61" i="6" s="1"/>
  <c r="T102" i="2" s="1"/>
  <c r="K133" i="2"/>
  <c r="U69" i="6"/>
  <c r="K111" i="2"/>
  <c r="K185" i="2" s="1"/>
  <c r="Z153" i="2"/>
  <c r="AK22" i="2"/>
  <c r="AJ19" i="6"/>
  <c r="AN20" i="6"/>
  <c r="AM24" i="6"/>
  <c r="AK46" i="6"/>
  <c r="AJ62" i="6"/>
  <c r="H134" i="2"/>
  <c r="D156" i="2"/>
  <c r="D175" i="2" s="1"/>
  <c r="E155" i="2"/>
  <c r="D195" i="2"/>
  <c r="D211" i="2" s="1"/>
  <c r="D214" i="2" s="1"/>
  <c r="D215" i="2" s="1"/>
  <c r="F165" i="2"/>
  <c r="F173" i="2" s="1"/>
  <c r="E190" i="2"/>
  <c r="E195" i="2" s="1"/>
  <c r="E211" i="2" s="1"/>
  <c r="L152" i="2"/>
  <c r="G138" i="2"/>
  <c r="F139" i="2"/>
  <c r="M132" i="2"/>
  <c r="L109" i="2"/>
  <c r="L111" i="2" s="1"/>
  <c r="S28" i="6"/>
  <c r="W17" i="2"/>
  <c r="W75" i="2" s="1"/>
  <c r="X9" i="2"/>
  <c r="X7" i="2"/>
  <c r="W81" i="2"/>
  <c r="W15" i="2"/>
  <c r="W48" i="2"/>
  <c r="W60" i="2" s="1"/>
  <c r="V76" i="2"/>
  <c r="V169" i="2" s="1"/>
  <c r="W51" i="2"/>
  <c r="W53" i="2"/>
  <c r="W65" i="2" s="1"/>
  <c r="W54" i="2"/>
  <c r="W50" i="2"/>
  <c r="W62" i="2" s="1"/>
  <c r="W47" i="2"/>
  <c r="W59" i="2" s="1"/>
  <c r="W46" i="2"/>
  <c r="W58" i="2" s="1"/>
  <c r="W82" i="2"/>
  <c r="W49" i="2"/>
  <c r="W61" i="2" s="1"/>
  <c r="W52" i="2"/>
  <c r="W64" i="2" s="1"/>
  <c r="W55" i="2"/>
  <c r="Y8" i="2"/>
  <c r="X16" i="2"/>
  <c r="X74" i="2" s="1"/>
  <c r="V220" i="2"/>
  <c r="V25" i="6"/>
  <c r="W28" i="2"/>
  <c r="V83" i="2"/>
  <c r="T86" i="2"/>
  <c r="T35" i="6"/>
  <c r="T92" i="2" s="1"/>
  <c r="Z20" i="2"/>
  <c r="Y17" i="6"/>
  <c r="W25" i="2"/>
  <c r="V22" i="6"/>
  <c r="W26" i="2"/>
  <c r="V23" i="6"/>
  <c r="U29" i="6"/>
  <c r="U32" i="6"/>
  <c r="U89" i="2" s="1"/>
  <c r="U37" i="6"/>
  <c r="U94" i="2" s="1"/>
  <c r="U31" i="6"/>
  <c r="U88" i="2" s="1"/>
  <c r="U36" i="6"/>
  <c r="U93" i="2" s="1"/>
  <c r="U33" i="6"/>
  <c r="U90" i="2" s="1"/>
  <c r="U34" i="6"/>
  <c r="U91" i="2" s="1"/>
  <c r="U38" i="6"/>
  <c r="U95" i="2" s="1"/>
  <c r="U30" i="6"/>
  <c r="U87" i="2" s="1"/>
  <c r="S96" i="2"/>
  <c r="R105" i="2"/>
  <c r="R106" i="2" s="1"/>
  <c r="Z24" i="2"/>
  <c r="Y21" i="6"/>
  <c r="Y20" i="6"/>
  <c r="AB62" i="6"/>
  <c r="Y42" i="6"/>
  <c r="X41" i="6"/>
  <c r="X99" i="2" s="1"/>
  <c r="G19" i="5"/>
  <c r="E27" i="5"/>
  <c r="E28" i="5" s="1"/>
  <c r="E30" i="5" s="1"/>
  <c r="E32" i="5" s="1"/>
  <c r="E33" i="5" s="1"/>
  <c r="J70" i="6"/>
  <c r="J61" i="6" s="1"/>
  <c r="J102" i="2" s="1"/>
  <c r="J168" i="2" s="1"/>
  <c r="K63" i="6"/>
  <c r="AK48" i="6" l="1"/>
  <c r="AJ50" i="6"/>
  <c r="AJ45" i="6" s="1"/>
  <c r="AJ100" i="2" s="1"/>
  <c r="Y59" i="6"/>
  <c r="Z53" i="6"/>
  <c r="Y52" i="6"/>
  <c r="Y101" i="2" s="1"/>
  <c r="S105" i="2"/>
  <c r="S106" i="2" s="1"/>
  <c r="S221" i="2"/>
  <c r="W67" i="2"/>
  <c r="M197" i="2"/>
  <c r="M201" i="2" s="1"/>
  <c r="I105" i="2"/>
  <c r="I113" i="2" s="1"/>
  <c r="I121" i="2" s="1"/>
  <c r="I123" i="2" s="1"/>
  <c r="I125" i="2" s="1"/>
  <c r="I183" i="2" s="1"/>
  <c r="W63" i="2"/>
  <c r="W66" i="2"/>
  <c r="U222" i="2"/>
  <c r="U141" i="2"/>
  <c r="U146" i="2" s="1"/>
  <c r="U189" i="2" s="1"/>
  <c r="AL43" i="6"/>
  <c r="AM42" i="6"/>
  <c r="AL41" i="6"/>
  <c r="AL99" i="2" s="1"/>
  <c r="AO27" i="2"/>
  <c r="AO24" i="2"/>
  <c r="AP24" i="2" s="1"/>
  <c r="AO23" i="2"/>
  <c r="AP23" i="2" s="1"/>
  <c r="AO21" i="2"/>
  <c r="AP21" i="2" s="1"/>
  <c r="AN18" i="6"/>
  <c r="AL17" i="6"/>
  <c r="AB24" i="6"/>
  <c r="AB19" i="6"/>
  <c r="T103" i="2"/>
  <c r="V79" i="2"/>
  <c r="N136" i="2"/>
  <c r="M110" i="2"/>
  <c r="M137" i="2" s="1"/>
  <c r="V69" i="6"/>
  <c r="V70" i="6" s="1"/>
  <c r="V61" i="6" s="1"/>
  <c r="V102" i="2" s="1"/>
  <c r="U70" i="6"/>
  <c r="U61" i="6" s="1"/>
  <c r="U102" i="2" s="1"/>
  <c r="L133" i="2"/>
  <c r="AA153" i="2"/>
  <c r="D148" i="2"/>
  <c r="D150" i="2" s="1"/>
  <c r="D177" i="2" s="1"/>
  <c r="AL22" i="2"/>
  <c r="AK19" i="6"/>
  <c r="AO24" i="6"/>
  <c r="AN24" i="6"/>
  <c r="AK62" i="6"/>
  <c r="AL46" i="6"/>
  <c r="E214" i="2"/>
  <c r="I134" i="2"/>
  <c r="L185" i="2"/>
  <c r="G165" i="2"/>
  <c r="G173" i="2" s="1"/>
  <c r="F190" i="2"/>
  <c r="F195" i="2" s="1"/>
  <c r="E213" i="2"/>
  <c r="F155" i="2"/>
  <c r="E156" i="2"/>
  <c r="E175" i="2" s="1"/>
  <c r="M152" i="2"/>
  <c r="H138" i="2"/>
  <c r="G139" i="2"/>
  <c r="N132" i="2"/>
  <c r="M109" i="2"/>
  <c r="W83" i="2"/>
  <c r="X55" i="2"/>
  <c r="X81" i="2"/>
  <c r="X15" i="2"/>
  <c r="X73" i="2" s="1"/>
  <c r="X48" i="2"/>
  <c r="X60" i="2" s="1"/>
  <c r="W76" i="2"/>
  <c r="X51" i="2"/>
  <c r="X54" i="2"/>
  <c r="X66" i="2" s="1"/>
  <c r="X47" i="2"/>
  <c r="X59" i="2" s="1"/>
  <c r="X53" i="2"/>
  <c r="X65" i="2" s="1"/>
  <c r="X50" i="2"/>
  <c r="X62" i="2" s="1"/>
  <c r="X46" i="2"/>
  <c r="X58" i="2" s="1"/>
  <c r="Y7" i="2"/>
  <c r="X82" i="2"/>
  <c r="X49" i="2"/>
  <c r="X61" i="2" s="1"/>
  <c r="X52" i="2"/>
  <c r="Y9" i="2"/>
  <c r="X17" i="2"/>
  <c r="X75" i="2" s="1"/>
  <c r="Z8" i="2"/>
  <c r="Y16" i="2"/>
  <c r="Y74" i="2" s="1"/>
  <c r="W73" i="2"/>
  <c r="W219" i="2" s="1"/>
  <c r="W25" i="6"/>
  <c r="X28" i="2"/>
  <c r="U35" i="6"/>
  <c r="U92" i="2" s="1"/>
  <c r="U86" i="2"/>
  <c r="X26" i="2"/>
  <c r="W23" i="6"/>
  <c r="V33" i="6"/>
  <c r="V90" i="2" s="1"/>
  <c r="V30" i="6"/>
  <c r="V87" i="2" s="1"/>
  <c r="V29" i="6"/>
  <c r="V32" i="6"/>
  <c r="V89" i="2" s="1"/>
  <c r="V171" i="2" s="1"/>
  <c r="V37" i="6"/>
  <c r="V94" i="2" s="1"/>
  <c r="V38" i="6"/>
  <c r="V95" i="2" s="1"/>
  <c r="V36" i="6"/>
  <c r="V93" i="2" s="1"/>
  <c r="V31" i="6"/>
  <c r="V88" i="2" s="1"/>
  <c r="V34" i="6"/>
  <c r="V91" i="2" s="1"/>
  <c r="AA23" i="2"/>
  <c r="Z20" i="6"/>
  <c r="X25" i="2"/>
  <c r="X63" i="2" s="1"/>
  <c r="W22" i="6"/>
  <c r="AA20" i="2"/>
  <c r="Z17" i="6"/>
  <c r="T28" i="6"/>
  <c r="AA24" i="2"/>
  <c r="Z21" i="6"/>
  <c r="T96" i="2"/>
  <c r="T221" i="2" s="1"/>
  <c r="Y41" i="6"/>
  <c r="Y99" i="2" s="1"/>
  <c r="Z42" i="6"/>
  <c r="J103" i="2"/>
  <c r="J162" i="2" s="1"/>
  <c r="K70" i="6"/>
  <c r="K61" i="6" s="1"/>
  <c r="K102" i="2" s="1"/>
  <c r="L63" i="6"/>
  <c r="AL48" i="6" l="1"/>
  <c r="AK50" i="6"/>
  <c r="AK45" i="6" s="1"/>
  <c r="AK100" i="2" s="1"/>
  <c r="Z59" i="6"/>
  <c r="AA53" i="6"/>
  <c r="Z52" i="6"/>
  <c r="Z101" i="2" s="1"/>
  <c r="X219" i="2"/>
  <c r="I106" i="2"/>
  <c r="W169" i="2"/>
  <c r="AP27" i="2"/>
  <c r="X169" i="2"/>
  <c r="K103" i="2"/>
  <c r="K162" i="2" s="1"/>
  <c r="K168" i="2"/>
  <c r="X67" i="2"/>
  <c r="X64" i="2"/>
  <c r="V222" i="2"/>
  <c r="V141" i="2"/>
  <c r="V146" i="2" s="1"/>
  <c r="V189" i="2" s="1"/>
  <c r="AN42" i="6"/>
  <c r="AM43" i="6"/>
  <c r="AM41" i="6" s="1"/>
  <c r="AM99" i="2" s="1"/>
  <c r="AO21" i="6"/>
  <c r="AO20" i="6"/>
  <c r="AO18" i="6"/>
  <c r="AM17" i="6"/>
  <c r="AN20" i="2"/>
  <c r="U103" i="2"/>
  <c r="V103" i="2"/>
  <c r="E215" i="2"/>
  <c r="E148" i="2" s="1"/>
  <c r="W79" i="2"/>
  <c r="M111" i="2"/>
  <c r="N197" i="2"/>
  <c r="N201" i="2" s="1"/>
  <c r="O136" i="2"/>
  <c r="N110" i="2"/>
  <c r="N137" i="2" s="1"/>
  <c r="M133" i="2"/>
  <c r="W69" i="6"/>
  <c r="W70" i="6" s="1"/>
  <c r="W61" i="6" s="1"/>
  <c r="W102" i="2" s="1"/>
  <c r="AB153" i="2"/>
  <c r="F211" i="2"/>
  <c r="F214" i="2" s="1"/>
  <c r="AL19" i="6"/>
  <c r="AM46" i="6"/>
  <c r="AL62" i="6"/>
  <c r="M185" i="2"/>
  <c r="J134" i="2"/>
  <c r="G155" i="2"/>
  <c r="F156" i="2"/>
  <c r="F175" i="2" s="1"/>
  <c r="G190" i="2"/>
  <c r="G195" i="2" s="1"/>
  <c r="H165" i="2"/>
  <c r="H173" i="2" s="1"/>
  <c r="N152" i="2"/>
  <c r="I138" i="2"/>
  <c r="H139" i="2"/>
  <c r="O132" i="2"/>
  <c r="O109" i="2"/>
  <c r="N109" i="2"/>
  <c r="U96" i="2"/>
  <c r="U28" i="6"/>
  <c r="W220" i="2"/>
  <c r="Y52" i="2"/>
  <c r="Y64" i="2" s="1"/>
  <c r="Y81" i="2"/>
  <c r="Y15" i="2"/>
  <c r="Y48" i="2"/>
  <c r="Y60" i="2" s="1"/>
  <c r="X76" i="2"/>
  <c r="Y51" i="2"/>
  <c r="Y54" i="2"/>
  <c r="Y66" i="2" s="1"/>
  <c r="Z7" i="2"/>
  <c r="Y53" i="2"/>
  <c r="Y65" i="2" s="1"/>
  <c r="Y47" i="2"/>
  <c r="Y59" i="2" s="1"/>
  <c r="Y55" i="2"/>
  <c r="Y67" i="2" s="1"/>
  <c r="Y46" i="2"/>
  <c r="Y58" i="2" s="1"/>
  <c r="Y82" i="2"/>
  <c r="Y49" i="2"/>
  <c r="Y61" i="2" s="1"/>
  <c r="Y50" i="2"/>
  <c r="Y62" i="2" s="1"/>
  <c r="Z16" i="2"/>
  <c r="Z74" i="2" s="1"/>
  <c r="AA8" i="2"/>
  <c r="X220" i="2"/>
  <c r="X83" i="2"/>
  <c r="Y28" i="2"/>
  <c r="X25" i="6"/>
  <c r="Y17" i="2"/>
  <c r="Y75" i="2" s="1"/>
  <c r="Z9" i="2"/>
  <c r="AB23" i="2"/>
  <c r="AA20" i="6"/>
  <c r="T105" i="2"/>
  <c r="T106" i="2" s="1"/>
  <c r="V35" i="6"/>
  <c r="V92" i="2" s="1"/>
  <c r="V86" i="2"/>
  <c r="AB24" i="2"/>
  <c r="AA21" i="6"/>
  <c r="W29" i="6"/>
  <c r="W86" i="2" s="1"/>
  <c r="W38" i="6"/>
  <c r="W95" i="2" s="1"/>
  <c r="W33" i="6"/>
  <c r="W90" i="2" s="1"/>
  <c r="W31" i="6"/>
  <c r="W88" i="2" s="1"/>
  <c r="W36" i="6"/>
  <c r="W93" i="2" s="1"/>
  <c r="W32" i="6"/>
  <c r="W89" i="2" s="1"/>
  <c r="W171" i="2" s="1"/>
  <c r="W30" i="6"/>
  <c r="W37" i="6"/>
  <c r="W94" i="2" s="1"/>
  <c r="W34" i="6"/>
  <c r="W91" i="2" s="1"/>
  <c r="Y26" i="2"/>
  <c r="X23" i="6"/>
  <c r="Y25" i="2"/>
  <c r="Y63" i="2" s="1"/>
  <c r="X22" i="6"/>
  <c r="AB20" i="2"/>
  <c r="AA17" i="6"/>
  <c r="AA42" i="6"/>
  <c r="Z41" i="6"/>
  <c r="Z99" i="2" s="1"/>
  <c r="J105" i="2"/>
  <c r="L70" i="6"/>
  <c r="L61" i="6" s="1"/>
  <c r="L102" i="2" s="1"/>
  <c r="M63" i="6"/>
  <c r="AM48" i="6" l="1"/>
  <c r="AL50" i="6"/>
  <c r="AL45" i="6" s="1"/>
  <c r="AL100" i="2" s="1"/>
  <c r="AA59" i="6"/>
  <c r="AA52" i="6"/>
  <c r="AA101" i="2" s="1"/>
  <c r="AB53" i="6"/>
  <c r="AC24" i="2"/>
  <c r="Q132" i="2"/>
  <c r="L103" i="2"/>
  <c r="L162" i="2" s="1"/>
  <c r="L168" i="2"/>
  <c r="L170" i="2" s="1"/>
  <c r="AC20" i="2"/>
  <c r="U105" i="2"/>
  <c r="U106" i="2" s="1"/>
  <c r="U221" i="2"/>
  <c r="AC23" i="2"/>
  <c r="K105" i="2"/>
  <c r="K113" i="2" s="1"/>
  <c r="K121" i="2" s="1"/>
  <c r="K123" i="2" s="1"/>
  <c r="K125" i="2" s="1"/>
  <c r="K183" i="2" s="1"/>
  <c r="W222" i="2"/>
  <c r="W141" i="2"/>
  <c r="W146" i="2" s="1"/>
  <c r="W189" i="2" s="1"/>
  <c r="F213" i="2"/>
  <c r="F215" i="2" s="1"/>
  <c r="F148" i="2" s="1"/>
  <c r="AO42" i="6"/>
  <c r="AN43" i="6"/>
  <c r="AN41" i="6" s="1"/>
  <c r="AN99" i="2" s="1"/>
  <c r="AN17" i="6"/>
  <c r="AO20" i="2"/>
  <c r="AP20" i="2" s="1"/>
  <c r="W103" i="2"/>
  <c r="X79" i="2"/>
  <c r="N111" i="2"/>
  <c r="N185" i="2" s="1"/>
  <c r="AC153" i="2"/>
  <c r="AD153" i="2"/>
  <c r="AE153" i="2" s="1"/>
  <c r="AF153" i="2" s="1"/>
  <c r="AG153" i="2" s="1"/>
  <c r="AH153" i="2" s="1"/>
  <c r="AI153" i="2" s="1"/>
  <c r="AJ153" i="2" s="1"/>
  <c r="AK153" i="2" s="1"/>
  <c r="AL153" i="2" s="1"/>
  <c r="AM153" i="2" s="1"/>
  <c r="AN153" i="2" s="1"/>
  <c r="AO153" i="2" s="1"/>
  <c r="AP153" i="2" s="1"/>
  <c r="Q109" i="2"/>
  <c r="O110" i="2"/>
  <c r="P110" i="2" s="1"/>
  <c r="Q136" i="2"/>
  <c r="P136" i="2"/>
  <c r="J113" i="2"/>
  <c r="J121" i="2" s="1"/>
  <c r="J123" i="2" s="1"/>
  <c r="J125" i="2" s="1"/>
  <c r="J183" i="2" s="1"/>
  <c r="J106" i="2"/>
  <c r="P109" i="2"/>
  <c r="O197" i="2"/>
  <c r="O201" i="2" s="1"/>
  <c r="P132" i="2"/>
  <c r="N133" i="2"/>
  <c r="O133" i="2" s="1"/>
  <c r="X69" i="6"/>
  <c r="G211" i="2"/>
  <c r="G214" i="2" s="1"/>
  <c r="AN22" i="2"/>
  <c r="AM19" i="6"/>
  <c r="AN46" i="6"/>
  <c r="AM62" i="6"/>
  <c r="K134" i="2"/>
  <c r="E150" i="2"/>
  <c r="E177" i="2" s="1"/>
  <c r="H190" i="2"/>
  <c r="H195" i="2" s="1"/>
  <c r="I165" i="2"/>
  <c r="I173" i="2" s="1"/>
  <c r="H155" i="2"/>
  <c r="G156" i="2"/>
  <c r="G175" i="2" s="1"/>
  <c r="O152" i="2"/>
  <c r="Q152" i="2" s="1"/>
  <c r="R152" i="2" s="1"/>
  <c r="Y83" i="2"/>
  <c r="I139" i="2"/>
  <c r="J138" i="2"/>
  <c r="V28" i="6"/>
  <c r="V96" i="2"/>
  <c r="AA9" i="2"/>
  <c r="Z17" i="2"/>
  <c r="Z75" i="2" s="1"/>
  <c r="Z219" i="2" s="1"/>
  <c r="Y73" i="2"/>
  <c r="Y219" i="2" s="1"/>
  <c r="AB8" i="2"/>
  <c r="AD8" i="2" s="1"/>
  <c r="AA16" i="2"/>
  <c r="AA74" i="2" s="1"/>
  <c r="Z82" i="2"/>
  <c r="Z49" i="2"/>
  <c r="Z61" i="2" s="1"/>
  <c r="Z52" i="2"/>
  <c r="Z55" i="2"/>
  <c r="AA7" i="2"/>
  <c r="Z81" i="2"/>
  <c r="Z15" i="2"/>
  <c r="Z73" i="2" s="1"/>
  <c r="Z48" i="2"/>
  <c r="Z60" i="2" s="1"/>
  <c r="Z54" i="2"/>
  <c r="Z66" i="2" s="1"/>
  <c r="Z47" i="2"/>
  <c r="Z59" i="2" s="1"/>
  <c r="Y76" i="2"/>
  <c r="Z51" i="2"/>
  <c r="Z50" i="2"/>
  <c r="Z62" i="2" s="1"/>
  <c r="Z53" i="2"/>
  <c r="Z65" i="2" s="1"/>
  <c r="Z46" i="2"/>
  <c r="Z58" i="2" s="1"/>
  <c r="Y25" i="6"/>
  <c r="Z28" i="2"/>
  <c r="X36" i="6"/>
  <c r="X93" i="2" s="1"/>
  <c r="X33" i="6"/>
  <c r="X90" i="2" s="1"/>
  <c r="X37" i="6"/>
  <c r="X94" i="2" s="1"/>
  <c r="X30" i="6"/>
  <c r="X32" i="6"/>
  <c r="X89" i="2" s="1"/>
  <c r="X171" i="2" s="1"/>
  <c r="X38" i="6"/>
  <c r="X95" i="2" s="1"/>
  <c r="X34" i="6"/>
  <c r="X91" i="2" s="1"/>
  <c r="X31" i="6"/>
  <c r="X88" i="2" s="1"/>
  <c r="X29" i="6"/>
  <c r="AB21" i="6"/>
  <c r="Z26" i="2"/>
  <c r="Y23" i="6"/>
  <c r="AB17" i="6"/>
  <c r="W35" i="6"/>
  <c r="W87" i="2"/>
  <c r="Z25" i="2"/>
  <c r="Y22" i="6"/>
  <c r="AB20" i="6"/>
  <c r="AB42" i="6"/>
  <c r="AB41" i="6" s="1"/>
  <c r="AB99" i="2" s="1"/>
  <c r="AA41" i="6"/>
  <c r="AA99" i="2" s="1"/>
  <c r="M70" i="6"/>
  <c r="M61" i="6" s="1"/>
  <c r="M102" i="2" s="1"/>
  <c r="N63" i="6"/>
  <c r="AN48" i="6" l="1"/>
  <c r="AM50" i="6"/>
  <c r="AM45" i="6" s="1"/>
  <c r="AM100" i="2" s="1"/>
  <c r="AB59" i="6"/>
  <c r="AB52" i="6"/>
  <c r="AB101" i="2" s="1"/>
  <c r="AC101" i="2" s="1"/>
  <c r="Z63" i="2"/>
  <c r="Q168" i="2"/>
  <c r="R132" i="2"/>
  <c r="Q162" i="2"/>
  <c r="V105" i="2"/>
  <c r="V106" i="2" s="1"/>
  <c r="V221" i="2"/>
  <c r="M103" i="2"/>
  <c r="M162" i="2" s="1"/>
  <c r="M168" i="2"/>
  <c r="Y169" i="2"/>
  <c r="K106" i="2"/>
  <c r="Z67" i="2"/>
  <c r="Z64" i="2"/>
  <c r="L105" i="2"/>
  <c r="L113" i="2" s="1"/>
  <c r="L121" i="2" s="1"/>
  <c r="X222" i="2"/>
  <c r="X141" i="2"/>
  <c r="X146" i="2" s="1"/>
  <c r="X189" i="2" s="1"/>
  <c r="AO43" i="6"/>
  <c r="AO41" i="6" s="1"/>
  <c r="AO99" i="2" s="1"/>
  <c r="AP99" i="2" s="1"/>
  <c r="AO17" i="6"/>
  <c r="Y79" i="2"/>
  <c r="Q133" i="2"/>
  <c r="R136" i="2"/>
  <c r="Q110" i="2"/>
  <c r="P111" i="2"/>
  <c r="Q134" i="2"/>
  <c r="Q197" i="2"/>
  <c r="O111" i="2"/>
  <c r="O185" i="2" s="1"/>
  <c r="P185" i="2" s="1"/>
  <c r="Q111" i="2"/>
  <c r="P197" i="2"/>
  <c r="P201" i="2" s="1"/>
  <c r="Y69" i="6"/>
  <c r="Y70" i="6" s="1"/>
  <c r="Y61" i="6" s="1"/>
  <c r="Y102" i="2" s="1"/>
  <c r="Y103" i="2" s="1"/>
  <c r="O137" i="2"/>
  <c r="AD16" i="2"/>
  <c r="AD74" i="2" s="1"/>
  <c r="AE8" i="2"/>
  <c r="G213" i="2"/>
  <c r="G215" i="2" s="1"/>
  <c r="S132" i="2"/>
  <c r="R109" i="2"/>
  <c r="R133" i="2" s="1"/>
  <c r="S152" i="2"/>
  <c r="T152" i="2" s="1"/>
  <c r="P152" i="2"/>
  <c r="X70" i="6"/>
  <c r="X61" i="6" s="1"/>
  <c r="X102" i="2" s="1"/>
  <c r="X103" i="2" s="1"/>
  <c r="H211" i="2"/>
  <c r="H214" i="2" s="1"/>
  <c r="AO22" i="2"/>
  <c r="AP22" i="2" s="1"/>
  <c r="AN19" i="6"/>
  <c r="AN62" i="6"/>
  <c r="AO46" i="6"/>
  <c r="L134" i="2"/>
  <c r="F150" i="2"/>
  <c r="F177" i="2" s="1"/>
  <c r="J165" i="2"/>
  <c r="J173" i="2" s="1"/>
  <c r="I190" i="2"/>
  <c r="I195" i="2" s="1"/>
  <c r="I155" i="2"/>
  <c r="H156" i="2"/>
  <c r="H175" i="2" s="1"/>
  <c r="J139" i="2"/>
  <c r="K138" i="2"/>
  <c r="Z83" i="2"/>
  <c r="AB16" i="2"/>
  <c r="AC8" i="2"/>
  <c r="AA28" i="2"/>
  <c r="Z25" i="6"/>
  <c r="Y220" i="2"/>
  <c r="Z220" i="2"/>
  <c r="AA46" i="2"/>
  <c r="AA58" i="2" s="1"/>
  <c r="AA52" i="2"/>
  <c r="AA64" i="2" s="1"/>
  <c r="AA55" i="2"/>
  <c r="AA67" i="2" s="1"/>
  <c r="AB7" i="2"/>
  <c r="AD7" i="2" s="1"/>
  <c r="AA54" i="2"/>
  <c r="AA66" i="2" s="1"/>
  <c r="AA51" i="2"/>
  <c r="AA81" i="2"/>
  <c r="AA15" i="2"/>
  <c r="AA73" i="2" s="1"/>
  <c r="AA48" i="2"/>
  <c r="AA60" i="2" s="1"/>
  <c r="Z76" i="2"/>
  <c r="Z169" i="2" s="1"/>
  <c r="AA47" i="2"/>
  <c r="AA59" i="2" s="1"/>
  <c r="AA50" i="2"/>
  <c r="AA62" i="2" s="1"/>
  <c r="AA49" i="2"/>
  <c r="AA61" i="2" s="1"/>
  <c r="AA53" i="2"/>
  <c r="AA65" i="2" s="1"/>
  <c r="AA82" i="2"/>
  <c r="AB9" i="2"/>
  <c r="AD9" i="2" s="1"/>
  <c r="AA17" i="2"/>
  <c r="AA75" i="2" s="1"/>
  <c r="AA219" i="2" s="1"/>
  <c r="Y29" i="6"/>
  <c r="Y32" i="6"/>
  <c r="Y89" i="2" s="1"/>
  <c r="Y171" i="2" s="1"/>
  <c r="Y37" i="6"/>
  <c r="Y94" i="2" s="1"/>
  <c r="Y31" i="6"/>
  <c r="Y88" i="2" s="1"/>
  <c r="Y36" i="6"/>
  <c r="Y93" i="2" s="1"/>
  <c r="Y34" i="6"/>
  <c r="Y91" i="2" s="1"/>
  <c r="Y30" i="6"/>
  <c r="Y38" i="6"/>
  <c r="Y95" i="2" s="1"/>
  <c r="Y33" i="6"/>
  <c r="Y90" i="2" s="1"/>
  <c r="X87" i="2"/>
  <c r="AA25" i="2"/>
  <c r="Z22" i="6"/>
  <c r="W28" i="6"/>
  <c r="W92" i="2"/>
  <c r="W96" i="2" s="1"/>
  <c r="W221" i="2" s="1"/>
  <c r="X86" i="2"/>
  <c r="X35" i="6"/>
  <c r="X92" i="2" s="1"/>
  <c r="AA26" i="2"/>
  <c r="Z23" i="6"/>
  <c r="AC99" i="2"/>
  <c r="N70" i="6"/>
  <c r="N61" i="6"/>
  <c r="N102" i="2" s="1"/>
  <c r="O63" i="6"/>
  <c r="AO48" i="6" l="1"/>
  <c r="AO50" i="6" s="1"/>
  <c r="AN50" i="6"/>
  <c r="AN45" i="6" s="1"/>
  <c r="AN100" i="2" s="1"/>
  <c r="AD59" i="6"/>
  <c r="AE53" i="6"/>
  <c r="AD52" i="6"/>
  <c r="AD101" i="2" s="1"/>
  <c r="L123" i="2"/>
  <c r="L125" i="2"/>
  <c r="L183" i="2" s="1"/>
  <c r="AA169" i="2"/>
  <c r="S162" i="2"/>
  <c r="L106" i="2"/>
  <c r="R168" i="2"/>
  <c r="R162" i="2"/>
  <c r="M105" i="2"/>
  <c r="M113" i="2" s="1"/>
  <c r="M121" i="2" s="1"/>
  <c r="M123" i="2" s="1"/>
  <c r="M125" i="2" s="1"/>
  <c r="M183" i="2" s="1"/>
  <c r="R197" i="2"/>
  <c r="R201" i="2" s="1"/>
  <c r="N103" i="2"/>
  <c r="N162" i="2" s="1"/>
  <c r="N168" i="2"/>
  <c r="AA63" i="2"/>
  <c r="Y222" i="2"/>
  <c r="Y141" i="2"/>
  <c r="Y146" i="2" s="1"/>
  <c r="Y189" i="2" s="1"/>
  <c r="AO19" i="6"/>
  <c r="Z79" i="2"/>
  <c r="R134" i="2"/>
  <c r="Q201" i="2"/>
  <c r="Q185" i="2"/>
  <c r="Q113" i="2"/>
  <c r="Q121" i="2" s="1"/>
  <c r="R110" i="2"/>
  <c r="S136" i="2"/>
  <c r="S197" i="2" s="1"/>
  <c r="Q137" i="2"/>
  <c r="P137" i="2"/>
  <c r="G148" i="2"/>
  <c r="G150" i="2" s="1"/>
  <c r="G177" i="2" s="1"/>
  <c r="H213" i="2"/>
  <c r="H215" i="2" s="1"/>
  <c r="T132" i="2"/>
  <c r="S109" i="2"/>
  <c r="S133" i="2" s="1"/>
  <c r="AF8" i="2"/>
  <c r="AE16" i="2"/>
  <c r="AE74" i="2" s="1"/>
  <c r="AD81" i="2"/>
  <c r="AD53" i="2"/>
  <c r="AD65" i="2" s="1"/>
  <c r="AD55" i="2"/>
  <c r="AD82" i="2"/>
  <c r="AD54" i="2"/>
  <c r="AD47" i="2"/>
  <c r="AD59" i="2" s="1"/>
  <c r="AD15" i="2"/>
  <c r="AD73" i="2" s="1"/>
  <c r="AE7" i="2"/>
  <c r="AD52" i="2"/>
  <c r="AD48" i="2"/>
  <c r="AD60" i="2" s="1"/>
  <c r="AD49" i="2"/>
  <c r="AD61" i="2" s="1"/>
  <c r="AD50" i="2"/>
  <c r="AD62" i="2" s="1"/>
  <c r="AD46" i="2"/>
  <c r="AD58" i="2" s="1"/>
  <c r="AD51" i="2"/>
  <c r="AD63" i="2" s="1"/>
  <c r="AE9" i="2"/>
  <c r="AD17" i="2"/>
  <c r="AD75" i="2" s="1"/>
  <c r="AD219" i="2" s="1"/>
  <c r="U152" i="2"/>
  <c r="Z69" i="6"/>
  <c r="I211" i="2"/>
  <c r="I214" i="2" s="1"/>
  <c r="AO62" i="6"/>
  <c r="M134" i="2"/>
  <c r="N105" i="2"/>
  <c r="K165" i="2"/>
  <c r="K173" i="2" s="1"/>
  <c r="J190" i="2"/>
  <c r="J195" i="2" s="1"/>
  <c r="J155" i="2"/>
  <c r="I156" i="2"/>
  <c r="I175" i="2" s="1"/>
  <c r="K139" i="2"/>
  <c r="L138" i="2"/>
  <c r="AA25" i="6"/>
  <c r="AB28" i="2"/>
  <c r="AC28" i="2" s="1"/>
  <c r="AB17" i="2"/>
  <c r="AC9" i="2"/>
  <c r="AB82" i="2"/>
  <c r="AC82" i="2" s="1"/>
  <c r="AB49" i="2"/>
  <c r="AB61" i="2" s="1"/>
  <c r="AB52" i="2"/>
  <c r="AB55" i="2"/>
  <c r="AB81" i="2"/>
  <c r="AB15" i="2"/>
  <c r="AB51" i="2"/>
  <c r="AC51" i="2" s="1"/>
  <c r="AB48" i="2"/>
  <c r="AB60" i="2" s="1"/>
  <c r="AA76" i="2"/>
  <c r="AB47" i="2"/>
  <c r="AB59" i="2" s="1"/>
  <c r="AB46" i="2"/>
  <c r="AB58" i="2" s="1"/>
  <c r="AB54" i="2"/>
  <c r="AB50" i="2"/>
  <c r="AB62" i="2" s="1"/>
  <c r="AB53" i="2"/>
  <c r="AB65" i="2" s="1"/>
  <c r="AC7" i="2"/>
  <c r="AA220" i="2"/>
  <c r="AA83" i="2"/>
  <c r="AB74" i="2"/>
  <c r="AC74" i="2" s="1"/>
  <c r="AC16" i="2"/>
  <c r="W105" i="2"/>
  <c r="W106" i="2" s="1"/>
  <c r="AB26" i="2"/>
  <c r="AA23" i="6"/>
  <c r="Z36" i="6"/>
  <c r="Z93" i="2" s="1"/>
  <c r="Z30" i="6"/>
  <c r="Z38" i="6"/>
  <c r="Z95" i="2" s="1"/>
  <c r="Z33" i="6"/>
  <c r="Z90" i="2" s="1"/>
  <c r="Z37" i="6"/>
  <c r="Z94" i="2" s="1"/>
  <c r="Z34" i="6"/>
  <c r="Z91" i="2" s="1"/>
  <c r="Z32" i="6"/>
  <c r="Z89" i="2" s="1"/>
  <c r="Z171" i="2" s="1"/>
  <c r="Z31" i="6"/>
  <c r="Z88" i="2" s="1"/>
  <c r="Z29" i="6"/>
  <c r="X28" i="6"/>
  <c r="AB25" i="2"/>
  <c r="AA22" i="6"/>
  <c r="Y35" i="6"/>
  <c r="Y92" i="2" s="1"/>
  <c r="Y87" i="2"/>
  <c r="Y86" i="2"/>
  <c r="X96" i="2"/>
  <c r="O70" i="6"/>
  <c r="O61" i="6"/>
  <c r="O102" i="2" s="1"/>
  <c r="AO45" i="6" l="1"/>
  <c r="AO100" i="2" s="1"/>
  <c r="AP100" i="2" s="1"/>
  <c r="AE59" i="6"/>
  <c r="AE52" i="6" s="1"/>
  <c r="AE101" i="2" s="1"/>
  <c r="AF53" i="6"/>
  <c r="M106" i="2"/>
  <c r="AD26" i="2"/>
  <c r="AC26" i="2"/>
  <c r="AC55" i="2"/>
  <c r="AB67" i="2"/>
  <c r="AB63" i="2"/>
  <c r="AC25" i="2"/>
  <c r="AD67" i="2"/>
  <c r="O103" i="2"/>
  <c r="O162" i="2" s="1"/>
  <c r="P162" i="2" s="1"/>
  <c r="O168" i="2"/>
  <c r="AD64" i="2"/>
  <c r="X105" i="2"/>
  <c r="X106" i="2" s="1"/>
  <c r="X221" i="2"/>
  <c r="AB66" i="2"/>
  <c r="S168" i="2"/>
  <c r="S170" i="2" s="1"/>
  <c r="AD169" i="2"/>
  <c r="AC52" i="2"/>
  <c r="AB64" i="2"/>
  <c r="T162" i="2"/>
  <c r="Z222" i="2"/>
  <c r="Z141" i="2"/>
  <c r="Z146" i="2" s="1"/>
  <c r="Z189" i="2" s="1"/>
  <c r="AD220" i="2"/>
  <c r="AA79" i="2"/>
  <c r="H148" i="2"/>
  <c r="H150" i="2" s="1"/>
  <c r="H177" i="2" s="1"/>
  <c r="I213" i="2"/>
  <c r="Q123" i="2"/>
  <c r="Q125" i="2" s="1"/>
  <c r="T136" i="2"/>
  <c r="T168" i="2" s="1"/>
  <c r="S110" i="2"/>
  <c r="S111" i="2" s="1"/>
  <c r="N113" i="2"/>
  <c r="N121" i="2" s="1"/>
  <c r="N123" i="2" s="1"/>
  <c r="N125" i="2" s="1"/>
  <c r="N183" i="2" s="1"/>
  <c r="N106" i="2"/>
  <c r="R137" i="2"/>
  <c r="S201" i="2"/>
  <c r="AF9" i="2"/>
  <c r="AE17" i="2"/>
  <c r="AE75" i="2" s="1"/>
  <c r="AD83" i="2"/>
  <c r="AF16" i="2"/>
  <c r="AF74" i="2" s="1"/>
  <c r="AG8" i="2"/>
  <c r="V152" i="2"/>
  <c r="U132" i="2"/>
  <c r="T109" i="2"/>
  <c r="Z70" i="6"/>
  <c r="Z61" i="6" s="1"/>
  <c r="Z102" i="2" s="1"/>
  <c r="AE53" i="2"/>
  <c r="AE65" i="2" s="1"/>
  <c r="AE46" i="2"/>
  <c r="AE58" i="2" s="1"/>
  <c r="AE82" i="2"/>
  <c r="AE51" i="2"/>
  <c r="AE63" i="2" s="1"/>
  <c r="AE81" i="2"/>
  <c r="AE47" i="2"/>
  <c r="AE59" i="2" s="1"/>
  <c r="AD76" i="2"/>
  <c r="AE50" i="2"/>
  <c r="AE62" i="2" s="1"/>
  <c r="AE15" i="2"/>
  <c r="AE73" i="2" s="1"/>
  <c r="AE48" i="2"/>
  <c r="AE60" i="2" s="1"/>
  <c r="AE52" i="2"/>
  <c r="AF7" i="2"/>
  <c r="AE54" i="2"/>
  <c r="AE49" i="2"/>
  <c r="AE61" i="2" s="1"/>
  <c r="AE55" i="2"/>
  <c r="AA69" i="6"/>
  <c r="I215" i="2"/>
  <c r="J213" i="2" s="1"/>
  <c r="J211" i="2"/>
  <c r="J214" i="2" s="1"/>
  <c r="AE26" i="2"/>
  <c r="AD23" i="6"/>
  <c r="AB25" i="6"/>
  <c r="AD28" i="2"/>
  <c r="AD66" i="2" s="1"/>
  <c r="AD22" i="6"/>
  <c r="AE25" i="2"/>
  <c r="N134" i="2"/>
  <c r="K155" i="2"/>
  <c r="J156" i="2"/>
  <c r="J175" i="2" s="1"/>
  <c r="K190" i="2"/>
  <c r="K195" i="2" s="1"/>
  <c r="L165" i="2"/>
  <c r="L173" i="2" s="1"/>
  <c r="L139" i="2"/>
  <c r="M138" i="2"/>
  <c r="Y28" i="6"/>
  <c r="Y96" i="2"/>
  <c r="AC48" i="2"/>
  <c r="AC46" i="2"/>
  <c r="AC49" i="2"/>
  <c r="AC53" i="2"/>
  <c r="AB75" i="2"/>
  <c r="AC17" i="2"/>
  <c r="AC50" i="2"/>
  <c r="AC47" i="2"/>
  <c r="AB73" i="2"/>
  <c r="AC15" i="2"/>
  <c r="AB76" i="2"/>
  <c r="AB83" i="2"/>
  <c r="AC83" i="2" s="1"/>
  <c r="AC81" i="2"/>
  <c r="AC54" i="2"/>
  <c r="AB23" i="6"/>
  <c r="Z35" i="6"/>
  <c r="Z92" i="2" s="1"/>
  <c r="Z87" i="2"/>
  <c r="AA36" i="6"/>
  <c r="AA93" i="2" s="1"/>
  <c r="AA38" i="6"/>
  <c r="AA95" i="2" s="1"/>
  <c r="AA33" i="6"/>
  <c r="AA90" i="2" s="1"/>
  <c r="AA32" i="6"/>
  <c r="AA89" i="2" s="1"/>
  <c r="AA171" i="2" s="1"/>
  <c r="AA34" i="6"/>
  <c r="AA91" i="2" s="1"/>
  <c r="AA29" i="6"/>
  <c r="AA37" i="6"/>
  <c r="AA94" i="2" s="1"/>
  <c r="AA30" i="6"/>
  <c r="AA87" i="2" s="1"/>
  <c r="AA31" i="6"/>
  <c r="AA88" i="2" s="1"/>
  <c r="Z86" i="2"/>
  <c r="AB22" i="6"/>
  <c r="P102" i="2"/>
  <c r="P103" i="2"/>
  <c r="AG53" i="6" l="1"/>
  <c r="AF59" i="6"/>
  <c r="AF52" i="6" s="1"/>
  <c r="AF101" i="2" s="1"/>
  <c r="AE219" i="2"/>
  <c r="AC75" i="2"/>
  <c r="AB219" i="2"/>
  <c r="Y105" i="2"/>
  <c r="Y106" i="2" s="1"/>
  <c r="Y221" i="2"/>
  <c r="U162" i="2"/>
  <c r="P168" i="2"/>
  <c r="O170" i="2"/>
  <c r="P170" i="2" s="1"/>
  <c r="AB169" i="2"/>
  <c r="AC169" i="2" s="1"/>
  <c r="AE64" i="2"/>
  <c r="O105" i="2"/>
  <c r="P105" i="2" s="1"/>
  <c r="AE169" i="2"/>
  <c r="S137" i="2"/>
  <c r="T137" i="2" s="1"/>
  <c r="AE83" i="2"/>
  <c r="AA222" i="2"/>
  <c r="AA141" i="2"/>
  <c r="AA146" i="2" s="1"/>
  <c r="AA189" i="2" s="1"/>
  <c r="Z103" i="2"/>
  <c r="I148" i="2"/>
  <c r="I150" i="2" s="1"/>
  <c r="I177" i="2" s="1"/>
  <c r="AB79" i="2"/>
  <c r="AD79" i="2"/>
  <c r="U136" i="2"/>
  <c r="U168" i="2" s="1"/>
  <c r="T110" i="2"/>
  <c r="T111" i="2" s="1"/>
  <c r="Q155" i="2"/>
  <c r="Q183" i="2"/>
  <c r="T197" i="2"/>
  <c r="AE220" i="2"/>
  <c r="T133" i="2"/>
  <c r="U109" i="2"/>
  <c r="V132" i="2"/>
  <c r="AA70" i="6"/>
  <c r="AA61" i="6" s="1"/>
  <c r="AA102" i="2" s="1"/>
  <c r="AA103" i="2" s="1"/>
  <c r="W152" i="2"/>
  <c r="S185" i="2"/>
  <c r="S113" i="2"/>
  <c r="S121" i="2" s="1"/>
  <c r="S123" i="2" s="1"/>
  <c r="S125" i="2" s="1"/>
  <c r="S183" i="2" s="1"/>
  <c r="AB69" i="6"/>
  <c r="S134" i="2"/>
  <c r="AH8" i="2"/>
  <c r="AG16" i="2"/>
  <c r="AF52" i="2"/>
  <c r="AF64" i="2" s="1"/>
  <c r="AF82" i="2"/>
  <c r="AF47" i="2"/>
  <c r="AF59" i="2" s="1"/>
  <c r="AF55" i="2"/>
  <c r="AF53" i="2"/>
  <c r="AF65" i="2" s="1"/>
  <c r="AF51" i="2"/>
  <c r="AF63" i="2" s="1"/>
  <c r="AF81" i="2"/>
  <c r="AF48" i="2"/>
  <c r="AF60" i="2" s="1"/>
  <c r="AF15" i="2"/>
  <c r="AF73" i="2" s="1"/>
  <c r="AF54" i="2"/>
  <c r="AE76" i="2"/>
  <c r="AE79" i="2" s="1"/>
  <c r="AF50" i="2"/>
  <c r="AF62" i="2" s="1"/>
  <c r="AF49" i="2"/>
  <c r="AF61" i="2" s="1"/>
  <c r="AG7" i="2"/>
  <c r="AF46" i="2"/>
  <c r="AF58" i="2" s="1"/>
  <c r="AG9" i="2"/>
  <c r="AF17" i="2"/>
  <c r="AF75" i="2" s="1"/>
  <c r="J215" i="2"/>
  <c r="J148" i="2" s="1"/>
  <c r="K211" i="2"/>
  <c r="K214" i="2" s="1"/>
  <c r="O134" i="2"/>
  <c r="P134" i="2" s="1"/>
  <c r="P133" i="2"/>
  <c r="AF25" i="2"/>
  <c r="AE22" i="6"/>
  <c r="AF26" i="2"/>
  <c r="AE23" i="6"/>
  <c r="AE28" i="2"/>
  <c r="AE67" i="2" s="1"/>
  <c r="AD25" i="6"/>
  <c r="AD34" i="6" s="1"/>
  <c r="AD91" i="2" s="1"/>
  <c r="L190" i="2"/>
  <c r="L195" i="2" s="1"/>
  <c r="M165" i="2"/>
  <c r="M173" i="2" s="1"/>
  <c r="L155" i="2"/>
  <c r="K156" i="2"/>
  <c r="K175" i="2" s="1"/>
  <c r="N138" i="2"/>
  <c r="M139" i="2"/>
  <c r="AB220" i="2"/>
  <c r="AC73" i="2"/>
  <c r="AC220" i="2" s="1"/>
  <c r="Z96" i="2"/>
  <c r="Z28" i="6"/>
  <c r="AC76" i="2"/>
  <c r="AA35" i="6"/>
  <c r="AA92" i="2" s="1"/>
  <c r="AA86" i="2"/>
  <c r="AB36" i="6"/>
  <c r="AB93" i="2" s="1"/>
  <c r="AC93" i="2" s="1"/>
  <c r="AB37" i="6"/>
  <c r="AB94" i="2" s="1"/>
  <c r="AC94" i="2" s="1"/>
  <c r="AB30" i="6"/>
  <c r="AB87" i="2" s="1"/>
  <c r="AB29" i="6"/>
  <c r="AB34" i="6"/>
  <c r="AB91" i="2" s="1"/>
  <c r="AC91" i="2" s="1"/>
  <c r="AB38" i="6"/>
  <c r="AB95" i="2" s="1"/>
  <c r="AC95" i="2" s="1"/>
  <c r="AB32" i="6"/>
  <c r="AB89" i="2" s="1"/>
  <c r="AC89" i="2" s="1"/>
  <c r="AB33" i="6"/>
  <c r="AB90" i="2" s="1"/>
  <c r="AC90" i="2" s="1"/>
  <c r="AB31" i="6"/>
  <c r="AB88" i="2" s="1"/>
  <c r="AC88" i="2" s="1"/>
  <c r="AG59" i="6" l="1"/>
  <c r="AH53" i="6"/>
  <c r="AG52" i="6"/>
  <c r="AG101" i="2" s="1"/>
  <c r="AF219" i="2"/>
  <c r="O113" i="2"/>
  <c r="O121" i="2" s="1"/>
  <c r="AE66" i="2"/>
  <c r="Z105" i="2"/>
  <c r="Z106" i="2" s="1"/>
  <c r="Z221" i="2"/>
  <c r="AF83" i="2"/>
  <c r="O106" i="2"/>
  <c r="V162" i="2"/>
  <c r="AD222" i="2"/>
  <c r="AD141" i="2"/>
  <c r="AD146" i="2" s="1"/>
  <c r="AE222" i="2"/>
  <c r="AE141" i="2"/>
  <c r="AE146" i="2" s="1"/>
  <c r="AF169" i="2"/>
  <c r="AB222" i="2"/>
  <c r="AB141" i="2"/>
  <c r="AB171" i="2"/>
  <c r="AC171" i="2" s="1"/>
  <c r="K213" i="2"/>
  <c r="K215" i="2" s="1"/>
  <c r="K148" i="2" s="1"/>
  <c r="AF220" i="2"/>
  <c r="U133" i="2"/>
  <c r="T185" i="2"/>
  <c r="T113" i="2"/>
  <c r="T121" i="2" s="1"/>
  <c r="T123" i="2" s="1"/>
  <c r="T125" i="2" s="1"/>
  <c r="T183" i="2" s="1"/>
  <c r="O123" i="2"/>
  <c r="O125" i="2" s="1"/>
  <c r="T201" i="2"/>
  <c r="V136" i="2"/>
  <c r="V168" i="2" s="1"/>
  <c r="V170" i="2" s="1"/>
  <c r="U110" i="2"/>
  <c r="P113" i="2"/>
  <c r="P121" i="2" s="1"/>
  <c r="P123" i="2" s="1"/>
  <c r="P125" i="2" s="1"/>
  <c r="P106" i="2"/>
  <c r="U197" i="2"/>
  <c r="U201" i="2" s="1"/>
  <c r="AD36" i="6"/>
  <c r="AD93" i="2" s="1"/>
  <c r="AD32" i="6"/>
  <c r="AD89" i="2" s="1"/>
  <c r="AG47" i="2"/>
  <c r="AG59" i="2" s="1"/>
  <c r="AG53" i="2"/>
  <c r="AG65" i="2" s="1"/>
  <c r="AG49" i="2"/>
  <c r="AG61" i="2" s="1"/>
  <c r="AG52" i="2"/>
  <c r="AG48" i="2"/>
  <c r="AG60" i="2" s="1"/>
  <c r="AG82" i="2"/>
  <c r="AG54" i="2"/>
  <c r="AG51" i="2"/>
  <c r="AG63" i="2" s="1"/>
  <c r="AG15" i="2"/>
  <c r="AG55" i="2"/>
  <c r="AF76" i="2"/>
  <c r="AH7" i="2"/>
  <c r="AG50" i="2"/>
  <c r="AG62" i="2" s="1"/>
  <c r="AG46" i="2"/>
  <c r="AG58" i="2" s="1"/>
  <c r="AG81" i="2"/>
  <c r="AH9" i="2"/>
  <c r="AG17" i="2"/>
  <c r="AD30" i="6"/>
  <c r="AD87" i="2" s="1"/>
  <c r="AD69" i="6"/>
  <c r="AD29" i="6"/>
  <c r="AD37" i="6"/>
  <c r="AD94" i="2" s="1"/>
  <c r="AI8" i="2"/>
  <c r="AH16" i="2"/>
  <c r="AH74" i="2" s="1"/>
  <c r="AD38" i="6"/>
  <c r="AD95" i="2" s="1"/>
  <c r="AG74" i="2"/>
  <c r="T134" i="2"/>
  <c r="V197" i="2"/>
  <c r="V201" i="2" s="1"/>
  <c r="V109" i="2"/>
  <c r="V133" i="2" s="1"/>
  <c r="W132" i="2"/>
  <c r="AB70" i="6"/>
  <c r="AB61" i="6" s="1"/>
  <c r="AB102" i="2" s="1"/>
  <c r="AD31" i="6"/>
  <c r="AD88" i="2" s="1"/>
  <c r="AD33" i="6"/>
  <c r="AD90" i="2" s="1"/>
  <c r="X152" i="2"/>
  <c r="AC79" i="2"/>
  <c r="AC222" i="2" s="1"/>
  <c r="L211" i="2"/>
  <c r="L214" i="2" s="1"/>
  <c r="AF28" i="2"/>
  <c r="AF67" i="2" s="1"/>
  <c r="AE25" i="6"/>
  <c r="AE34" i="6" s="1"/>
  <c r="AE91" i="2" s="1"/>
  <c r="AE33" i="6"/>
  <c r="AE90" i="2" s="1"/>
  <c r="AG26" i="2"/>
  <c r="AF23" i="6"/>
  <c r="AH25" i="2"/>
  <c r="AF22" i="6"/>
  <c r="J150" i="2"/>
  <c r="J177" i="2" s="1"/>
  <c r="M155" i="2"/>
  <c r="L156" i="2"/>
  <c r="L175" i="2" s="1"/>
  <c r="M190" i="2"/>
  <c r="M195" i="2" s="1"/>
  <c r="N165" i="2"/>
  <c r="N173" i="2" s="1"/>
  <c r="O138" i="2"/>
  <c r="Q138" i="2" s="1"/>
  <c r="N139" i="2"/>
  <c r="AA28" i="6"/>
  <c r="AA96" i="2"/>
  <c r="AB35" i="6"/>
  <c r="AB92" i="2" s="1"/>
  <c r="AC92" i="2" s="1"/>
  <c r="AB86" i="2"/>
  <c r="AC86" i="2" s="1"/>
  <c r="AC87" i="2"/>
  <c r="AI53" i="6" l="1"/>
  <c r="AH59" i="6"/>
  <c r="AH52" i="6" s="1"/>
  <c r="AH101" i="2" s="1"/>
  <c r="AH26" i="2"/>
  <c r="AI26" i="2" s="1"/>
  <c r="AJ26" i="2" s="1"/>
  <c r="AK26" i="2" s="1"/>
  <c r="AL26" i="2" s="1"/>
  <c r="AM26" i="2" s="1"/>
  <c r="AN26" i="2" s="1"/>
  <c r="AO26" i="2" s="1"/>
  <c r="AP26" i="2"/>
  <c r="AA105" i="2"/>
  <c r="AA106" i="2" s="1"/>
  <c r="AA221" i="2"/>
  <c r="AG64" i="2"/>
  <c r="W168" i="2"/>
  <c r="W162" i="2"/>
  <c r="AF66" i="2"/>
  <c r="AE69" i="6"/>
  <c r="AE70" i="6" s="1"/>
  <c r="AE61" i="6" s="1"/>
  <c r="AE102" i="2" s="1"/>
  <c r="AE189" i="2"/>
  <c r="Q139" i="2"/>
  <c r="R138" i="2"/>
  <c r="AI25" i="2"/>
  <c r="AD171" i="2"/>
  <c r="AF79" i="2"/>
  <c r="AD35" i="6"/>
  <c r="AD92" i="2" s="1"/>
  <c r="V110" i="2"/>
  <c r="V111" i="2" s="1"/>
  <c r="W136" i="2"/>
  <c r="W197" i="2" s="1"/>
  <c r="W201" i="2" s="1"/>
  <c r="U111" i="2"/>
  <c r="AE38" i="6"/>
  <c r="AE95" i="2" s="1"/>
  <c r="AE36" i="6"/>
  <c r="AE93" i="2" s="1"/>
  <c r="U137" i="2"/>
  <c r="V137" i="2" s="1"/>
  <c r="L213" i="2"/>
  <c r="L215" i="2" s="1"/>
  <c r="AE31" i="6"/>
  <c r="AE88" i="2" s="1"/>
  <c r="AE30" i="6"/>
  <c r="AE87" i="2" s="1"/>
  <c r="AD86" i="2"/>
  <c r="AD96" i="2" s="1"/>
  <c r="AD221" i="2" s="1"/>
  <c r="AE32" i="6"/>
  <c r="AE89" i="2" s="1"/>
  <c r="AE29" i="6"/>
  <c r="AB146" i="2"/>
  <c r="AC141" i="2"/>
  <c r="AC146" i="2" s="1"/>
  <c r="AE37" i="6"/>
  <c r="AE94" i="2" s="1"/>
  <c r="O183" i="2"/>
  <c r="P183" i="2" s="1"/>
  <c r="AH49" i="2"/>
  <c r="AH61" i="2" s="1"/>
  <c r="AH51" i="2"/>
  <c r="AH63" i="2" s="1"/>
  <c r="AG76" i="2"/>
  <c r="AH46" i="2"/>
  <c r="AH58" i="2" s="1"/>
  <c r="AI7" i="2"/>
  <c r="AH81" i="2"/>
  <c r="AH52" i="2"/>
  <c r="AH64" i="2" s="1"/>
  <c r="AH53" i="2"/>
  <c r="AH65" i="2" s="1"/>
  <c r="AH55" i="2"/>
  <c r="AH67" i="2" s="1"/>
  <c r="AH54" i="2"/>
  <c r="AH66" i="2" s="1"/>
  <c r="AH50" i="2"/>
  <c r="AH62" i="2" s="1"/>
  <c r="AH15" i="2"/>
  <c r="AH73" i="2" s="1"/>
  <c r="AH82" i="2"/>
  <c r="AH47" i="2"/>
  <c r="AH59" i="2" s="1"/>
  <c r="AH48" i="2"/>
  <c r="AH60" i="2" s="1"/>
  <c r="U134" i="2"/>
  <c r="Y152" i="2"/>
  <c r="AG73" i="2"/>
  <c r="AG75" i="2"/>
  <c r="AG219" i="2" s="1"/>
  <c r="AC102" i="2"/>
  <c r="AB103" i="2"/>
  <c r="AH17" i="2"/>
  <c r="AH75" i="2" s="1"/>
  <c r="AI9" i="2"/>
  <c r="AI16" i="2"/>
  <c r="AJ8" i="2"/>
  <c r="AG83" i="2"/>
  <c r="AD70" i="6"/>
  <c r="AD61" i="6" s="1"/>
  <c r="AD102" i="2" s="1"/>
  <c r="O139" i="2"/>
  <c r="P139" i="2" s="1"/>
  <c r="P138" i="2"/>
  <c r="X132" i="2"/>
  <c r="W109" i="2"/>
  <c r="M211" i="2"/>
  <c r="M214" i="2" s="1"/>
  <c r="AD28" i="6"/>
  <c r="AG22" i="6"/>
  <c r="AG23" i="6"/>
  <c r="AG28" i="2"/>
  <c r="AH28" i="2" s="1"/>
  <c r="AI28" i="2" s="1"/>
  <c r="AJ28" i="2" s="1"/>
  <c r="AK28" i="2" s="1"/>
  <c r="AL28" i="2" s="1"/>
  <c r="AM28" i="2" s="1"/>
  <c r="AN28" i="2" s="1"/>
  <c r="AO28" i="2" s="1"/>
  <c r="AF25" i="6"/>
  <c r="AF38" i="6" s="1"/>
  <c r="AF95" i="2" s="1"/>
  <c r="K150" i="2"/>
  <c r="K177" i="2" s="1"/>
  <c r="O165" i="2"/>
  <c r="N190" i="2"/>
  <c r="N195" i="2" s="1"/>
  <c r="N155" i="2"/>
  <c r="M156" i="2"/>
  <c r="M175" i="2" s="1"/>
  <c r="AB28" i="6"/>
  <c r="AB96" i="2"/>
  <c r="AB221" i="2" s="1"/>
  <c r="AI59" i="6" l="1"/>
  <c r="AI52" i="6" s="1"/>
  <c r="AI101" i="2" s="1"/>
  <c r="AJ53" i="6"/>
  <c r="AH219" i="2"/>
  <c r="AP28" i="2"/>
  <c r="AG66" i="2"/>
  <c r="AG67" i="2"/>
  <c r="X162" i="2"/>
  <c r="AG169" i="2"/>
  <c r="AF222" i="2"/>
  <c r="AF141" i="2"/>
  <c r="AF146" i="2" s="1"/>
  <c r="AF189" i="2" s="1"/>
  <c r="Q165" i="2"/>
  <c r="Q173" i="2" s="1"/>
  <c r="O173" i="2"/>
  <c r="O190" i="2" s="1"/>
  <c r="AE35" i="6"/>
  <c r="AE92" i="2" s="1"/>
  <c r="AJ25" i="2"/>
  <c r="AI63" i="2"/>
  <c r="AE103" i="2"/>
  <c r="AE171" i="2"/>
  <c r="V185" i="2"/>
  <c r="V113" i="2"/>
  <c r="V121" i="2" s="1"/>
  <c r="V123" i="2" s="1"/>
  <c r="V125" i="2" s="1"/>
  <c r="V183" i="2" s="1"/>
  <c r="AG79" i="2"/>
  <c r="AH220" i="2"/>
  <c r="AG220" i="2"/>
  <c r="M213" i="2"/>
  <c r="M215" i="2" s="1"/>
  <c r="M148" i="2" s="1"/>
  <c r="L148" i="2"/>
  <c r="L150" i="2" s="1"/>
  <c r="L177" i="2" s="1"/>
  <c r="AE86" i="2"/>
  <c r="U185" i="2"/>
  <c r="U113" i="2"/>
  <c r="U121" i="2" s="1"/>
  <c r="U123" i="2" s="1"/>
  <c r="U125" i="2" s="1"/>
  <c r="U183" i="2" s="1"/>
  <c r="W110" i="2"/>
  <c r="W111" i="2" s="1"/>
  <c r="W113" i="2" s="1"/>
  <c r="W121" i="2" s="1"/>
  <c r="W123" i="2" s="1"/>
  <c r="W125" i="2" s="1"/>
  <c r="W183" i="2" s="1"/>
  <c r="X136" i="2"/>
  <c r="X197" i="2" s="1"/>
  <c r="X201" i="2" s="1"/>
  <c r="AB189" i="2"/>
  <c r="AC189" i="2" s="1"/>
  <c r="AD189" i="2"/>
  <c r="W133" i="2"/>
  <c r="AF36" i="6"/>
  <c r="AF93" i="2" s="1"/>
  <c r="AF69" i="6"/>
  <c r="AF70" i="6" s="1"/>
  <c r="AF32" i="6"/>
  <c r="AF89" i="2" s="1"/>
  <c r="AD103" i="2"/>
  <c r="AD105" i="2" s="1"/>
  <c r="AD106" i="2" s="1"/>
  <c r="Z152" i="2"/>
  <c r="V134" i="2"/>
  <c r="AJ16" i="2"/>
  <c r="AJ74" i="2" s="1"/>
  <c r="AK8" i="2"/>
  <c r="AI17" i="2"/>
  <c r="AI75" i="2" s="1"/>
  <c r="AJ9" i="2"/>
  <c r="AC103" i="2"/>
  <c r="AI74" i="2"/>
  <c r="AH83" i="2"/>
  <c r="AI81" i="2"/>
  <c r="AI52" i="2"/>
  <c r="AI64" i="2" s="1"/>
  <c r="AI53" i="2"/>
  <c r="AI65" i="2" s="1"/>
  <c r="AI47" i="2"/>
  <c r="AI59" i="2" s="1"/>
  <c r="AI55" i="2"/>
  <c r="AI67" i="2" s="1"/>
  <c r="AI82" i="2"/>
  <c r="AI48" i="2"/>
  <c r="AI60" i="2" s="1"/>
  <c r="AI54" i="2"/>
  <c r="AI66" i="2" s="1"/>
  <c r="AI49" i="2"/>
  <c r="AI61" i="2" s="1"/>
  <c r="AJ7" i="2"/>
  <c r="AI46" i="2"/>
  <c r="AI58" i="2" s="1"/>
  <c r="AH76" i="2"/>
  <c r="AH79" i="2" s="1"/>
  <c r="AI50" i="2"/>
  <c r="AI62" i="2" s="1"/>
  <c r="AI15" i="2"/>
  <c r="AI73" i="2" s="1"/>
  <c r="AI51" i="2"/>
  <c r="X109" i="2"/>
  <c r="Y132" i="2"/>
  <c r="AB105" i="2"/>
  <c r="N211" i="2"/>
  <c r="N214" i="2" s="1"/>
  <c r="P165" i="2"/>
  <c r="P173" i="2" s="1"/>
  <c r="AF37" i="6"/>
  <c r="AF94" i="2" s="1"/>
  <c r="AF29" i="6"/>
  <c r="AF34" i="6"/>
  <c r="AF91" i="2" s="1"/>
  <c r="AH23" i="6"/>
  <c r="AG25" i="6"/>
  <c r="AG38" i="6" s="1"/>
  <c r="AG95" i="2" s="1"/>
  <c r="AF31" i="6"/>
  <c r="AF88" i="2" s="1"/>
  <c r="AF33" i="6"/>
  <c r="AF90" i="2" s="1"/>
  <c r="AE28" i="6"/>
  <c r="AF30" i="6"/>
  <c r="AF87" i="2" s="1"/>
  <c r="AH22" i="6"/>
  <c r="O155" i="2"/>
  <c r="N156" i="2"/>
  <c r="N175" i="2" s="1"/>
  <c r="AC96" i="2"/>
  <c r="AC221" i="2" s="1"/>
  <c r="AK53" i="6" l="1"/>
  <c r="AJ59" i="6"/>
  <c r="AJ52" i="6" s="1"/>
  <c r="AJ101" i="2" s="1"/>
  <c r="AI219" i="2"/>
  <c r="X168" i="2"/>
  <c r="Y162" i="2"/>
  <c r="AE96" i="2"/>
  <c r="AH169" i="2"/>
  <c r="AG222" i="2"/>
  <c r="AG141" i="2"/>
  <c r="AG146" i="2" s="1"/>
  <c r="AG189" i="2" s="1"/>
  <c r="AH222" i="2"/>
  <c r="AH141" i="2"/>
  <c r="AK25" i="2"/>
  <c r="AJ63" i="2"/>
  <c r="AF171" i="2"/>
  <c r="N213" i="2"/>
  <c r="N215" i="2" s="1"/>
  <c r="N148" i="2" s="1"/>
  <c r="X133" i="2"/>
  <c r="AF61" i="6"/>
  <c r="AF102" i="2" s="1"/>
  <c r="Q154" i="2"/>
  <c r="AI220" i="2"/>
  <c r="Q190" i="2"/>
  <c r="Q195" i="2" s="1"/>
  <c r="Q211" i="2" s="1"/>
  <c r="Q214" i="2" s="1"/>
  <c r="W137" i="2"/>
  <c r="W185" i="2"/>
  <c r="X110" i="2"/>
  <c r="X111" i="2" s="1"/>
  <c r="Y136" i="2"/>
  <c r="Y168" i="2" s="1"/>
  <c r="Y170" i="2" s="1"/>
  <c r="AC105" i="2"/>
  <c r="AC106" i="2" s="1"/>
  <c r="AB106" i="2"/>
  <c r="AG69" i="6"/>
  <c r="AG70" i="6" s="1"/>
  <c r="AA152" i="2"/>
  <c r="W134" i="2"/>
  <c r="AH146" i="2"/>
  <c r="AH189" i="2" s="1"/>
  <c r="Z132" i="2"/>
  <c r="Y109" i="2"/>
  <c r="AI83" i="2"/>
  <c r="AJ47" i="2"/>
  <c r="AJ59" i="2" s="1"/>
  <c r="AI76" i="2"/>
  <c r="AI169" i="2" s="1"/>
  <c r="AJ51" i="2"/>
  <c r="AJ50" i="2"/>
  <c r="AJ62" i="2" s="1"/>
  <c r="AJ52" i="2"/>
  <c r="AJ64" i="2" s="1"/>
  <c r="AJ82" i="2"/>
  <c r="AJ55" i="2"/>
  <c r="AJ67" i="2" s="1"/>
  <c r="AJ15" i="2"/>
  <c r="AJ73" i="2" s="1"/>
  <c r="AJ46" i="2"/>
  <c r="AJ58" i="2" s="1"/>
  <c r="AJ48" i="2"/>
  <c r="AJ60" i="2" s="1"/>
  <c r="AJ53" i="2"/>
  <c r="AJ65" i="2" s="1"/>
  <c r="AJ49" i="2"/>
  <c r="AJ61" i="2" s="1"/>
  <c r="AJ81" i="2"/>
  <c r="AJ54" i="2"/>
  <c r="AJ66" i="2" s="1"/>
  <c r="AK7" i="2"/>
  <c r="AK9" i="2"/>
  <c r="AJ17" i="2"/>
  <c r="AL8" i="2"/>
  <c r="AK16" i="2"/>
  <c r="O195" i="2"/>
  <c r="O211" i="2" s="1"/>
  <c r="O214" i="2" s="1"/>
  <c r="P190" i="2"/>
  <c r="P195" i="2" s="1"/>
  <c r="P211" i="2" s="1"/>
  <c r="P214" i="2" s="1"/>
  <c r="P215" i="2" s="1"/>
  <c r="AC213" i="2" s="1"/>
  <c r="O156" i="2"/>
  <c r="O175" i="2" s="1"/>
  <c r="P155" i="2"/>
  <c r="P156" i="2" s="1"/>
  <c r="P175" i="2" s="1"/>
  <c r="AG37" i="6"/>
  <c r="AG94" i="2" s="1"/>
  <c r="AH25" i="6"/>
  <c r="AH36" i="6" s="1"/>
  <c r="AH93" i="2" s="1"/>
  <c r="AG33" i="6"/>
  <c r="AG90" i="2" s="1"/>
  <c r="AG32" i="6"/>
  <c r="AG89" i="2" s="1"/>
  <c r="AG29" i="6"/>
  <c r="AI23" i="6"/>
  <c r="AF86" i="2"/>
  <c r="AF35" i="6"/>
  <c r="AF92" i="2" s="1"/>
  <c r="AI22" i="6"/>
  <c r="AG34" i="6"/>
  <c r="AG91" i="2" s="1"/>
  <c r="AG30" i="6"/>
  <c r="AG87" i="2" s="1"/>
  <c r="AG36" i="6"/>
  <c r="AG93" i="2" s="1"/>
  <c r="AG31" i="6"/>
  <c r="AG88" i="2" s="1"/>
  <c r="M150" i="2"/>
  <c r="M177" i="2" s="1"/>
  <c r="AL53" i="6" l="1"/>
  <c r="AK59" i="6"/>
  <c r="AK52" i="6" s="1"/>
  <c r="AK101" i="2" s="1"/>
  <c r="Z162" i="2"/>
  <c r="AE105" i="2"/>
  <c r="AE106" i="2" s="1"/>
  <c r="AE221" i="2"/>
  <c r="Q156" i="2"/>
  <c r="Q175" i="2" s="1"/>
  <c r="R154" i="2"/>
  <c r="S154" i="2" s="1"/>
  <c r="T154" i="2" s="1"/>
  <c r="U154" i="2" s="1"/>
  <c r="V154" i="2" s="1"/>
  <c r="AL25" i="2"/>
  <c r="AK63" i="2"/>
  <c r="AF103" i="2"/>
  <c r="AG171" i="2"/>
  <c r="AI79" i="2"/>
  <c r="O213" i="2"/>
  <c r="O215" i="2" s="1"/>
  <c r="X113" i="2"/>
  <c r="X121" i="2" s="1"/>
  <c r="X123" i="2" s="1"/>
  <c r="X125" i="2" s="1"/>
  <c r="X183" i="2" s="1"/>
  <c r="X185" i="2"/>
  <c r="X137" i="2"/>
  <c r="Y133" i="2"/>
  <c r="Y110" i="2"/>
  <c r="Y111" i="2" s="1"/>
  <c r="Z136" i="2"/>
  <c r="Z197" i="2" s="1"/>
  <c r="Z201" i="2" s="1"/>
  <c r="Y197" i="2"/>
  <c r="Y201" i="2" s="1"/>
  <c r="AG61" i="6"/>
  <c r="AG102" i="2" s="1"/>
  <c r="AK74" i="2"/>
  <c r="AL9" i="2"/>
  <c r="AK17" i="2"/>
  <c r="AK75" i="2" s="1"/>
  <c r="AK219" i="2" s="1"/>
  <c r="AH29" i="6"/>
  <c r="AH86" i="2" s="1"/>
  <c r="AB152" i="2"/>
  <c r="AH69" i="6"/>
  <c r="AM8" i="2"/>
  <c r="AL16" i="2"/>
  <c r="AL74" i="2" s="1"/>
  <c r="AJ75" i="2"/>
  <c r="AK55" i="2"/>
  <c r="AK67" i="2" s="1"/>
  <c r="AL7" i="2"/>
  <c r="AK54" i="2"/>
  <c r="AK66" i="2" s="1"/>
  <c r="AK52" i="2"/>
  <c r="AK64" i="2" s="1"/>
  <c r="AK51" i="2"/>
  <c r="AK47" i="2"/>
  <c r="AK59" i="2" s="1"/>
  <c r="AK49" i="2"/>
  <c r="AK61" i="2" s="1"/>
  <c r="AK50" i="2"/>
  <c r="AK62" i="2" s="1"/>
  <c r="AJ76" i="2"/>
  <c r="AK15" i="2"/>
  <c r="AK73" i="2" s="1"/>
  <c r="AK53" i="2"/>
  <c r="AK65" i="2" s="1"/>
  <c r="AK81" i="2"/>
  <c r="AK46" i="2"/>
  <c r="AK58" i="2" s="1"/>
  <c r="AK82" i="2"/>
  <c r="AK48" i="2"/>
  <c r="AK60" i="2" s="1"/>
  <c r="Z109" i="2"/>
  <c r="AA132" i="2"/>
  <c r="P148" i="2"/>
  <c r="P150" i="2" s="1"/>
  <c r="P177" i="2" s="1"/>
  <c r="X134" i="2"/>
  <c r="AJ83" i="2"/>
  <c r="AJ22" i="6"/>
  <c r="AI25" i="6"/>
  <c r="AI33" i="6" s="1"/>
  <c r="AI90" i="2" s="1"/>
  <c r="AF96" i="2"/>
  <c r="AF221" i="2" s="1"/>
  <c r="AH32" i="6"/>
  <c r="AH89" i="2" s="1"/>
  <c r="AH37" i="6"/>
  <c r="AH94" i="2" s="1"/>
  <c r="AH34" i="6"/>
  <c r="AH91" i="2" s="1"/>
  <c r="AF28" i="6"/>
  <c r="AH38" i="6"/>
  <c r="AH95" i="2" s="1"/>
  <c r="AH33" i="6"/>
  <c r="AH90" i="2" s="1"/>
  <c r="AG35" i="6"/>
  <c r="AG92" i="2" s="1"/>
  <c r="AG86" i="2"/>
  <c r="AH30" i="6"/>
  <c r="AH87" i="2" s="1"/>
  <c r="AH31" i="6"/>
  <c r="AH88" i="2" s="1"/>
  <c r="AJ23" i="6"/>
  <c r="N150" i="2"/>
  <c r="N177" i="2" s="1"/>
  <c r="AL59" i="6" l="1"/>
  <c r="AL52" i="6" s="1"/>
  <c r="AL101" i="2" s="1"/>
  <c r="AM53" i="6"/>
  <c r="AJ220" i="2"/>
  <c r="AJ219" i="2"/>
  <c r="AA162" i="2"/>
  <c r="Z168" i="2"/>
  <c r="AI222" i="2"/>
  <c r="AI141" i="2"/>
  <c r="AI146" i="2" s="1"/>
  <c r="AI189" i="2" s="1"/>
  <c r="AJ169" i="2"/>
  <c r="AL63" i="2"/>
  <c r="AG103" i="2"/>
  <c r="O148" i="2"/>
  <c r="O150" i="2" s="1"/>
  <c r="O177" i="2" s="1"/>
  <c r="Q213" i="2"/>
  <c r="Q215" i="2" s="1"/>
  <c r="Q148" i="2" s="1"/>
  <c r="Q150" i="2" s="1"/>
  <c r="Q177" i="2" s="1"/>
  <c r="AJ79" i="2"/>
  <c r="AK220" i="2"/>
  <c r="Y185" i="2"/>
  <c r="Y113" i="2"/>
  <c r="Y121" i="2" s="1"/>
  <c r="Y123" i="2" s="1"/>
  <c r="Y125" i="2" s="1"/>
  <c r="Y183" i="2" s="1"/>
  <c r="AA136" i="2"/>
  <c r="AA168" i="2" s="1"/>
  <c r="Z110" i="2"/>
  <c r="Z111" i="2" s="1"/>
  <c r="Z133" i="2"/>
  <c r="Y137" i="2"/>
  <c r="Z137" i="2" s="1"/>
  <c r="AC152" i="2"/>
  <c r="AD152" i="2"/>
  <c r="AE152" i="2" s="1"/>
  <c r="AF152" i="2" s="1"/>
  <c r="AG152" i="2" s="1"/>
  <c r="AH152" i="2" s="1"/>
  <c r="AI152" i="2" s="1"/>
  <c r="AJ152" i="2" s="1"/>
  <c r="AK152" i="2" s="1"/>
  <c r="AL152" i="2" s="1"/>
  <c r="AM152" i="2" s="1"/>
  <c r="AN152" i="2" s="1"/>
  <c r="AO152" i="2" s="1"/>
  <c r="AP152" i="2" s="1"/>
  <c r="AH70" i="6"/>
  <c r="AH61" i="6" s="1"/>
  <c r="AH102" i="2" s="1"/>
  <c r="AA109" i="2"/>
  <c r="AB132" i="2"/>
  <c r="AL54" i="2"/>
  <c r="AL66" i="2" s="1"/>
  <c r="AM7" i="2"/>
  <c r="AK76" i="2"/>
  <c r="AK169" i="2" s="1"/>
  <c r="AL46" i="2"/>
  <c r="AL58" i="2" s="1"/>
  <c r="AL81" i="2"/>
  <c r="AL82" i="2"/>
  <c r="AL50" i="2"/>
  <c r="AL62" i="2" s="1"/>
  <c r="AL55" i="2"/>
  <c r="AL67" i="2" s="1"/>
  <c r="AL15" i="2"/>
  <c r="AL52" i="2"/>
  <c r="AL64" i="2" s="1"/>
  <c r="AL48" i="2"/>
  <c r="AL60" i="2" s="1"/>
  <c r="AL47" i="2"/>
  <c r="AL59" i="2" s="1"/>
  <c r="AL53" i="2"/>
  <c r="AL65" i="2" s="1"/>
  <c r="AL49" i="2"/>
  <c r="AL61" i="2" s="1"/>
  <c r="AL51" i="2"/>
  <c r="AM16" i="2"/>
  <c r="AN8" i="2"/>
  <c r="AL17" i="2"/>
  <c r="AL75" i="2" s="1"/>
  <c r="AM9" i="2"/>
  <c r="Y134" i="2"/>
  <c r="AK83" i="2"/>
  <c r="AI69" i="6"/>
  <c r="W154" i="2"/>
  <c r="AG96" i="2"/>
  <c r="AG28" i="6"/>
  <c r="AI29" i="6"/>
  <c r="AI37" i="6"/>
  <c r="AI94" i="2" s="1"/>
  <c r="AJ25" i="6"/>
  <c r="AJ32" i="6" s="1"/>
  <c r="AJ89" i="2" s="1"/>
  <c r="AI38" i="6"/>
  <c r="AI95" i="2" s="1"/>
  <c r="AI32" i="6"/>
  <c r="AI89" i="2" s="1"/>
  <c r="AI171" i="2" s="1"/>
  <c r="AK22" i="6"/>
  <c r="AI36" i="6"/>
  <c r="AI93" i="2" s="1"/>
  <c r="AI30" i="6"/>
  <c r="AI87" i="2" s="1"/>
  <c r="AI34" i="6"/>
  <c r="AI91" i="2" s="1"/>
  <c r="AI31" i="6"/>
  <c r="AI88" i="2" s="1"/>
  <c r="AH35" i="6"/>
  <c r="AH92" i="2" s="1"/>
  <c r="AH96" i="2" s="1"/>
  <c r="AH221" i="2" s="1"/>
  <c r="AK23" i="6"/>
  <c r="AF105" i="2"/>
  <c r="AF106" i="2" s="1"/>
  <c r="AM59" i="6" l="1"/>
  <c r="AM52" i="6" s="1"/>
  <c r="AM101" i="2" s="1"/>
  <c r="AN53" i="6"/>
  <c r="AB162" i="2"/>
  <c r="AC162" i="2" s="1"/>
  <c r="AG105" i="2"/>
  <c r="AG106" i="2" s="1"/>
  <c r="AG221" i="2"/>
  <c r="AJ222" i="2"/>
  <c r="AJ141" i="2"/>
  <c r="AJ146" i="2" s="1"/>
  <c r="AJ189" i="2" s="1"/>
  <c r="R213" i="2"/>
  <c r="AD132" i="2"/>
  <c r="AN25" i="2"/>
  <c r="AM63" i="2"/>
  <c r="AJ171" i="2"/>
  <c r="AK79" i="2"/>
  <c r="AA133" i="2"/>
  <c r="Z113" i="2"/>
  <c r="Z121" i="2" s="1"/>
  <c r="Z123" i="2" s="1"/>
  <c r="Z125" i="2" s="1"/>
  <c r="Z183" i="2" s="1"/>
  <c r="Z185" i="2"/>
  <c r="AC132" i="2"/>
  <c r="AA110" i="2"/>
  <c r="AA137" i="2" s="1"/>
  <c r="AB136" i="2"/>
  <c r="AB168" i="2" s="1"/>
  <c r="AB170" i="2" s="1"/>
  <c r="AA111" i="2"/>
  <c r="AA185" i="2" s="1"/>
  <c r="AA197" i="2"/>
  <c r="AA201" i="2" s="1"/>
  <c r="AJ69" i="6"/>
  <c r="AL83" i="2"/>
  <c r="AM52" i="2"/>
  <c r="AM64" i="2" s="1"/>
  <c r="AM51" i="2"/>
  <c r="AM47" i="2"/>
  <c r="AM59" i="2" s="1"/>
  <c r="AM49" i="2"/>
  <c r="AM61" i="2" s="1"/>
  <c r="AL76" i="2"/>
  <c r="AM46" i="2"/>
  <c r="AM58" i="2" s="1"/>
  <c r="AM81" i="2"/>
  <c r="AM53" i="2"/>
  <c r="AM65" i="2" s="1"/>
  <c r="AM48" i="2"/>
  <c r="AM60" i="2" s="1"/>
  <c r="AN7" i="2"/>
  <c r="AM54" i="2"/>
  <c r="AM66" i="2" s="1"/>
  <c r="AM55" i="2"/>
  <c r="AM67" i="2" s="1"/>
  <c r="AM15" i="2"/>
  <c r="AM73" i="2" s="1"/>
  <c r="AM50" i="2"/>
  <c r="AM62" i="2" s="1"/>
  <c r="AM82" i="2"/>
  <c r="AB109" i="2"/>
  <c r="AM74" i="2"/>
  <c r="Z134" i="2"/>
  <c r="AN16" i="2"/>
  <c r="AN74" i="2" s="1"/>
  <c r="AO8" i="2"/>
  <c r="X154" i="2"/>
  <c r="AI70" i="6"/>
  <c r="AI61" i="6" s="1"/>
  <c r="AI102" i="2" s="1"/>
  <c r="AN9" i="2"/>
  <c r="AM17" i="2"/>
  <c r="AM75" i="2" s="1"/>
  <c r="AM219" i="2" s="1"/>
  <c r="AD109" i="2"/>
  <c r="AL73" i="2"/>
  <c r="AL219" i="2" s="1"/>
  <c r="AH103" i="2"/>
  <c r="AJ31" i="6"/>
  <c r="AJ88" i="2" s="1"/>
  <c r="AJ33" i="6"/>
  <c r="AJ90" i="2" s="1"/>
  <c r="AJ34" i="6"/>
  <c r="AJ91" i="2" s="1"/>
  <c r="AI86" i="2"/>
  <c r="AI35" i="6"/>
  <c r="AI92" i="2" s="1"/>
  <c r="AJ29" i="6"/>
  <c r="AJ30" i="6"/>
  <c r="AJ87" i="2" s="1"/>
  <c r="AJ36" i="6"/>
  <c r="AJ93" i="2" s="1"/>
  <c r="AJ38" i="6"/>
  <c r="AJ95" i="2" s="1"/>
  <c r="AK25" i="6"/>
  <c r="AL23" i="6"/>
  <c r="AJ37" i="6"/>
  <c r="AJ94" i="2" s="1"/>
  <c r="AH28" i="6"/>
  <c r="AL22" i="6"/>
  <c r="AN59" i="6" l="1"/>
  <c r="AN52" i="6" s="1"/>
  <c r="AN101" i="2" s="1"/>
  <c r="AO53" i="6"/>
  <c r="AO59" i="6" s="1"/>
  <c r="AO52" i="6" s="1"/>
  <c r="AO101" i="2" s="1"/>
  <c r="AP101" i="2" s="1"/>
  <c r="AE132" i="2"/>
  <c r="AD162" i="2"/>
  <c r="AL169" i="2"/>
  <c r="AK222" i="2"/>
  <c r="AK141" i="2"/>
  <c r="AK146" i="2" s="1"/>
  <c r="AK189" i="2" s="1"/>
  <c r="AC170" i="2"/>
  <c r="AC168" i="2"/>
  <c r="AB133" i="2"/>
  <c r="AD133" i="2" s="1"/>
  <c r="AD134" i="2" s="1"/>
  <c r="AO25" i="2"/>
  <c r="AN63" i="2"/>
  <c r="AI103" i="2"/>
  <c r="AL220" i="2"/>
  <c r="AL79" i="2"/>
  <c r="AM220" i="2"/>
  <c r="AA113" i="2"/>
  <c r="AA121" i="2" s="1"/>
  <c r="AA123" i="2" s="1"/>
  <c r="AA125" i="2" s="1"/>
  <c r="AA183" i="2" s="1"/>
  <c r="AF132" i="2"/>
  <c r="AC136" i="2"/>
  <c r="AD136" i="2"/>
  <c r="AD168" i="2" s="1"/>
  <c r="AB110" i="2"/>
  <c r="AC110" i="2" s="1"/>
  <c r="AD197" i="2"/>
  <c r="AB197" i="2"/>
  <c r="AC197" i="2" s="1"/>
  <c r="AB201" i="2"/>
  <c r="AH105" i="2"/>
  <c r="AH106" i="2" s="1"/>
  <c r="AO16" i="2"/>
  <c r="AO74" i="2" s="1"/>
  <c r="AP74" i="2" s="1"/>
  <c r="AP8" i="2"/>
  <c r="AC109" i="2"/>
  <c r="Y154" i="2"/>
  <c r="AM83" i="2"/>
  <c r="AA134" i="2"/>
  <c r="AK29" i="6"/>
  <c r="AK86" i="2" s="1"/>
  <c r="AK69" i="6"/>
  <c r="AO9" i="2"/>
  <c r="AN17" i="2"/>
  <c r="AN75" i="2" s="1"/>
  <c r="AN55" i="2"/>
  <c r="AN67" i="2" s="1"/>
  <c r="AN52" i="2"/>
  <c r="AN64" i="2" s="1"/>
  <c r="AN82" i="2"/>
  <c r="AN49" i="2"/>
  <c r="AN61" i="2" s="1"/>
  <c r="AN51" i="2"/>
  <c r="AN81" i="2"/>
  <c r="AN83" i="2" s="1"/>
  <c r="AM76" i="2"/>
  <c r="AM169" i="2" s="1"/>
  <c r="AN46" i="2"/>
  <c r="AN58" i="2" s="1"/>
  <c r="AN48" i="2"/>
  <c r="AN60" i="2" s="1"/>
  <c r="AN54" i="2"/>
  <c r="AN66" i="2" s="1"/>
  <c r="AO7" i="2"/>
  <c r="AP7" i="2" s="1"/>
  <c r="AN47" i="2"/>
  <c r="AN59" i="2" s="1"/>
  <c r="AN50" i="2"/>
  <c r="AN62" i="2" s="1"/>
  <c r="AN15" i="2"/>
  <c r="AN73" i="2" s="1"/>
  <c r="AN53" i="2"/>
  <c r="AN65" i="2" s="1"/>
  <c r="AJ70" i="6"/>
  <c r="AJ61" i="6" s="1"/>
  <c r="AJ102" i="2" s="1"/>
  <c r="AK33" i="6"/>
  <c r="AK90" i="2" s="1"/>
  <c r="AJ86" i="2"/>
  <c r="AJ35" i="6"/>
  <c r="AJ92" i="2" s="1"/>
  <c r="AM22" i="6"/>
  <c r="AI96" i="2"/>
  <c r="AI221" i="2" s="1"/>
  <c r="AK38" i="6"/>
  <c r="AK95" i="2" s="1"/>
  <c r="AL25" i="6"/>
  <c r="AL34" i="6" s="1"/>
  <c r="AL91" i="2" s="1"/>
  <c r="AK32" i="6"/>
  <c r="AK89" i="2" s="1"/>
  <c r="AK171" i="2" s="1"/>
  <c r="AK31" i="6"/>
  <c r="AK88" i="2" s="1"/>
  <c r="AK36" i="6"/>
  <c r="AK93" i="2" s="1"/>
  <c r="AI28" i="6"/>
  <c r="AK30" i="6"/>
  <c r="AK87" i="2" s="1"/>
  <c r="AK34" i="6"/>
  <c r="AK91" i="2" s="1"/>
  <c r="AK37" i="6"/>
  <c r="AK94" i="2" s="1"/>
  <c r="AM23" i="6"/>
  <c r="AN219" i="2" l="1"/>
  <c r="AP25" i="2"/>
  <c r="AC133" i="2"/>
  <c r="AE162" i="2"/>
  <c r="AF162" i="2"/>
  <c r="AE109" i="2"/>
  <c r="AE133" i="2" s="1"/>
  <c r="AL222" i="2"/>
  <c r="AL141" i="2"/>
  <c r="AL146" i="2" s="1"/>
  <c r="AL189" i="2" s="1"/>
  <c r="AN169" i="2"/>
  <c r="AJ103" i="2"/>
  <c r="AM79" i="2"/>
  <c r="AP16" i="2"/>
  <c r="AB111" i="2"/>
  <c r="AG132" i="2"/>
  <c r="AD201" i="2"/>
  <c r="AC111" i="2"/>
  <c r="AC113" i="2" s="1"/>
  <c r="AC121" i="2" s="1"/>
  <c r="AC123" i="2" s="1"/>
  <c r="AC125" i="2" s="1"/>
  <c r="AN220" i="2"/>
  <c r="AE136" i="2"/>
  <c r="AE168" i="2" s="1"/>
  <c r="AD110" i="2"/>
  <c r="AB137" i="2"/>
  <c r="AC137" i="2" s="1"/>
  <c r="AC201" i="2"/>
  <c r="AL29" i="6"/>
  <c r="AL86" i="2" s="1"/>
  <c r="AL37" i="6"/>
  <c r="AL94" i="2" s="1"/>
  <c r="AL33" i="6"/>
  <c r="AL90" i="2" s="1"/>
  <c r="AL38" i="6"/>
  <c r="AL95" i="2" s="1"/>
  <c r="AL31" i="6"/>
  <c r="AL88" i="2" s="1"/>
  <c r="AL32" i="6"/>
  <c r="AL89" i="2" s="1"/>
  <c r="AL171" i="2" s="1"/>
  <c r="AL36" i="6"/>
  <c r="AL93" i="2" s="1"/>
  <c r="Z154" i="2"/>
  <c r="AB134" i="2"/>
  <c r="AC134" i="2" s="1"/>
  <c r="AO17" i="2"/>
  <c r="AP9" i="2"/>
  <c r="AB185" i="2"/>
  <c r="AB113" i="2"/>
  <c r="AB121" i="2" s="1"/>
  <c r="AB123" i="2" s="1"/>
  <c r="AB125" i="2" s="1"/>
  <c r="AB183" i="2" s="1"/>
  <c r="AF109" i="2"/>
  <c r="AO53" i="2"/>
  <c r="AO65" i="2" s="1"/>
  <c r="AO52" i="2"/>
  <c r="AO49" i="2"/>
  <c r="AO61" i="2" s="1"/>
  <c r="AO47" i="2"/>
  <c r="AO59" i="2" s="1"/>
  <c r="AO55" i="2"/>
  <c r="AO82" i="2"/>
  <c r="AP82" i="2" s="1"/>
  <c r="AO54" i="2"/>
  <c r="AO51" i="2"/>
  <c r="AP51" i="2" s="1"/>
  <c r="AO46" i="2"/>
  <c r="AO58" i="2" s="1"/>
  <c r="AO48" i="2"/>
  <c r="AO60" i="2" s="1"/>
  <c r="AO15" i="2"/>
  <c r="AO50" i="2"/>
  <c r="AO62" i="2" s="1"/>
  <c r="AO81" i="2"/>
  <c r="AN76" i="2"/>
  <c r="AP76" i="2" s="1"/>
  <c r="AK70" i="6"/>
  <c r="AK61" i="6" s="1"/>
  <c r="AK102" i="2" s="1"/>
  <c r="AL30" i="6"/>
  <c r="AL87" i="2" s="1"/>
  <c r="AL69" i="6"/>
  <c r="AJ96" i="2"/>
  <c r="AJ28" i="6"/>
  <c r="AM25" i="6"/>
  <c r="AM32" i="6" s="1"/>
  <c r="AM89" i="2" s="1"/>
  <c r="AI105" i="2"/>
  <c r="AI106" i="2" s="1"/>
  <c r="AN23" i="6"/>
  <c r="AN22" i="6"/>
  <c r="AK35" i="6"/>
  <c r="AK92" i="2" s="1"/>
  <c r="AK96" i="2" s="1"/>
  <c r="AK221" i="2" s="1"/>
  <c r="AP54" i="2" l="1"/>
  <c r="AO66" i="2"/>
  <c r="AP55" i="2"/>
  <c r="AO67" i="2"/>
  <c r="AP52" i="2"/>
  <c r="AO64" i="2"/>
  <c r="AG162" i="2"/>
  <c r="AO63" i="2"/>
  <c r="AJ105" i="2"/>
  <c r="AJ106" i="2" s="1"/>
  <c r="AJ221" i="2"/>
  <c r="AM222" i="2"/>
  <c r="AM141" i="2"/>
  <c r="AM146" i="2" s="1"/>
  <c r="AM189" i="2" s="1"/>
  <c r="AM171" i="2"/>
  <c r="AK103" i="2"/>
  <c r="AN79" i="2"/>
  <c r="AM37" i="6"/>
  <c r="AM94" i="2" s="1"/>
  <c r="AD137" i="2"/>
  <c r="AD111" i="2"/>
  <c r="AP48" i="2"/>
  <c r="AH132" i="2"/>
  <c r="AF136" i="2"/>
  <c r="AF168" i="2" s="1"/>
  <c r="AF170" i="2" s="1"/>
  <c r="AE110" i="2"/>
  <c r="AE197" i="2"/>
  <c r="AF133" i="2"/>
  <c r="AE134" i="2"/>
  <c r="AM36" i="6"/>
  <c r="AM93" i="2" s="1"/>
  <c r="AL35" i="6"/>
  <c r="AL92" i="2" s="1"/>
  <c r="AL96" i="2" s="1"/>
  <c r="AL221" i="2" s="1"/>
  <c r="AL70" i="6"/>
  <c r="AL61" i="6" s="1"/>
  <c r="AL102" i="2" s="1"/>
  <c r="AO75" i="2"/>
  <c r="AP17" i="2"/>
  <c r="AP47" i="2"/>
  <c r="AP53" i="2"/>
  <c r="AO83" i="2"/>
  <c r="AP83" i="2" s="1"/>
  <c r="AP81" i="2"/>
  <c r="AG109" i="2"/>
  <c r="AM31" i="6"/>
  <c r="AM88" i="2" s="1"/>
  <c r="AP50" i="2"/>
  <c r="AP49" i="2"/>
  <c r="AM34" i="6"/>
  <c r="AM91" i="2" s="1"/>
  <c r="AO73" i="2"/>
  <c r="AP15" i="2"/>
  <c r="AM69" i="6"/>
  <c r="AM29" i="6"/>
  <c r="AM86" i="2" s="1"/>
  <c r="AM33" i="6"/>
  <c r="AM90" i="2" s="1"/>
  <c r="AP46" i="2"/>
  <c r="AA154" i="2"/>
  <c r="AM38" i="6"/>
  <c r="AM95" i="2" s="1"/>
  <c r="AO22" i="6"/>
  <c r="AO23" i="6"/>
  <c r="AN25" i="6"/>
  <c r="AN33" i="6" s="1"/>
  <c r="AN90" i="2" s="1"/>
  <c r="AK28" i="6"/>
  <c r="AM30" i="6"/>
  <c r="AM87" i="2" s="1"/>
  <c r="AP75" i="2" l="1"/>
  <c r="AO219" i="2"/>
  <c r="AH162" i="2"/>
  <c r="AO169" i="2"/>
  <c r="AK105" i="2"/>
  <c r="AK106" i="2" s="1"/>
  <c r="AP169" i="2"/>
  <c r="AN222" i="2"/>
  <c r="AN141" i="2"/>
  <c r="AN146" i="2" s="1"/>
  <c r="AN189" i="2" s="1"/>
  <c r="AL103" i="2"/>
  <c r="AO79" i="2"/>
  <c r="AL28" i="6"/>
  <c r="AL105" i="2"/>
  <c r="AL106" i="2" s="1"/>
  <c r="AO220" i="2"/>
  <c r="AE201" i="2"/>
  <c r="AI132" i="2"/>
  <c r="AE137" i="2"/>
  <c r="AE111" i="2"/>
  <c r="AD185" i="2"/>
  <c r="AD113" i="2"/>
  <c r="AD121" i="2" s="1"/>
  <c r="AG136" i="2"/>
  <c r="AG168" i="2" s="1"/>
  <c r="AF110" i="2"/>
  <c r="AF197" i="2"/>
  <c r="AF201" i="2" s="1"/>
  <c r="AG133" i="2"/>
  <c r="AF134" i="2"/>
  <c r="AN69" i="6"/>
  <c r="AN70" i="6" s="1"/>
  <c r="AN61" i="6" s="1"/>
  <c r="AN102" i="2" s="1"/>
  <c r="AP73" i="2"/>
  <c r="AP220" i="2" s="1"/>
  <c r="AB154" i="2"/>
  <c r="AH109" i="2"/>
  <c r="AM70" i="6"/>
  <c r="AM61" i="6" s="1"/>
  <c r="AM102" i="2" s="1"/>
  <c r="AN30" i="6"/>
  <c r="AN87" i="2" s="1"/>
  <c r="AN32" i="6"/>
  <c r="AN89" i="2" s="1"/>
  <c r="AN171" i="2" s="1"/>
  <c r="AN37" i="6"/>
  <c r="AN94" i="2" s="1"/>
  <c r="AN34" i="6"/>
  <c r="AN91" i="2" s="1"/>
  <c r="AN29" i="6"/>
  <c r="AN31" i="6"/>
  <c r="AN88" i="2" s="1"/>
  <c r="AN38" i="6"/>
  <c r="AN95" i="2" s="1"/>
  <c r="AN36" i="6"/>
  <c r="AN93" i="2" s="1"/>
  <c r="AM35" i="6"/>
  <c r="AM92" i="2" s="1"/>
  <c r="AM96" i="2" s="1"/>
  <c r="AM221" i="2" s="1"/>
  <c r="AO25" i="6"/>
  <c r="AI162" i="2" l="1"/>
  <c r="AN35" i="6"/>
  <c r="AN92" i="2" s="1"/>
  <c r="AO222" i="2"/>
  <c r="AO141" i="2"/>
  <c r="AP141" i="2" s="1"/>
  <c r="AP146" i="2" s="1"/>
  <c r="AN103" i="2"/>
  <c r="AM103" i="2"/>
  <c r="AM105" i="2" s="1"/>
  <c r="AM106" i="2" s="1"/>
  <c r="AN86" i="2"/>
  <c r="AP79" i="2"/>
  <c r="AP222" i="2" s="1"/>
  <c r="AC154" i="2"/>
  <c r="AH136" i="2"/>
  <c r="AH168" i="2" s="1"/>
  <c r="AG110" i="2"/>
  <c r="AG197" i="2"/>
  <c r="AG201" i="2" s="1"/>
  <c r="AF137" i="2"/>
  <c r="AF111" i="2"/>
  <c r="AD123" i="2"/>
  <c r="AD125" i="2" s="1"/>
  <c r="AE185" i="2"/>
  <c r="AE113" i="2"/>
  <c r="AE121" i="2" s="1"/>
  <c r="AJ132" i="2"/>
  <c r="AH133" i="2"/>
  <c r="AG134" i="2"/>
  <c r="AI109" i="2"/>
  <c r="AO33" i="6"/>
  <c r="AO90" i="2" s="1"/>
  <c r="AP90" i="2" s="1"/>
  <c r="AO69" i="6"/>
  <c r="AN28" i="6"/>
  <c r="AN96" i="2"/>
  <c r="AO37" i="6"/>
  <c r="AO94" i="2" s="1"/>
  <c r="AP94" i="2" s="1"/>
  <c r="AO29" i="6"/>
  <c r="AO36" i="6"/>
  <c r="AO93" i="2" s="1"/>
  <c r="AP93" i="2" s="1"/>
  <c r="AO38" i="6"/>
  <c r="AO95" i="2" s="1"/>
  <c r="AP95" i="2" s="1"/>
  <c r="AO32" i="6"/>
  <c r="AO89" i="2" s="1"/>
  <c r="AP89" i="2" s="1"/>
  <c r="AO30" i="6"/>
  <c r="AO87" i="2" s="1"/>
  <c r="AP87" i="2" s="1"/>
  <c r="AO34" i="6"/>
  <c r="AO91" i="2" s="1"/>
  <c r="AP91" i="2" s="1"/>
  <c r="AM28" i="6"/>
  <c r="AO31" i="6"/>
  <c r="AO88" i="2" s="1"/>
  <c r="AP88" i="2" s="1"/>
  <c r="AO146" i="2" l="1"/>
  <c r="AO189" i="2" s="1"/>
  <c r="AP189" i="2" s="1"/>
  <c r="AN105" i="2"/>
  <c r="AN106" i="2" s="1"/>
  <c r="AN221" i="2"/>
  <c r="AJ162" i="2"/>
  <c r="AK132" i="2"/>
  <c r="AO171" i="2"/>
  <c r="AP171" i="2" s="1"/>
  <c r="AD155" i="2"/>
  <c r="AD183" i="2"/>
  <c r="AE123" i="2"/>
  <c r="AF185" i="2"/>
  <c r="AF113" i="2"/>
  <c r="AF121" i="2" s="1"/>
  <c r="AF123" i="2" s="1"/>
  <c r="AG137" i="2"/>
  <c r="AG111" i="2"/>
  <c r="AI136" i="2"/>
  <c r="AI168" i="2" s="1"/>
  <c r="AI170" i="2" s="1"/>
  <c r="AH110" i="2"/>
  <c r="AH197" i="2"/>
  <c r="AI133" i="2"/>
  <c r="AH134" i="2"/>
  <c r="AO70" i="6"/>
  <c r="AO61" i="6" s="1"/>
  <c r="AO102" i="2" s="1"/>
  <c r="AJ109" i="2"/>
  <c r="AO35" i="6"/>
  <c r="AO92" i="2" s="1"/>
  <c r="AP92" i="2" s="1"/>
  <c r="AO86" i="2"/>
  <c r="AK162" i="2" l="1"/>
  <c r="AL132" i="2"/>
  <c r="AE125" i="2"/>
  <c r="AM132" i="2"/>
  <c r="AH137" i="2"/>
  <c r="AH111" i="2"/>
  <c r="AJ136" i="2"/>
  <c r="AJ168" i="2" s="1"/>
  <c r="AI110" i="2"/>
  <c r="AI197" i="2"/>
  <c r="AI201" i="2" s="1"/>
  <c r="AG185" i="2"/>
  <c r="AG113" i="2"/>
  <c r="AG121" i="2" s="1"/>
  <c r="AG123" i="2" s="1"/>
  <c r="AG125" i="2" s="1"/>
  <c r="AG183" i="2" s="1"/>
  <c r="AO28" i="6"/>
  <c r="AN132" i="2"/>
  <c r="AE155" i="2"/>
  <c r="AE183" i="2"/>
  <c r="AH201" i="2"/>
  <c r="AF125" i="2"/>
  <c r="AF183" i="2" s="1"/>
  <c r="AJ133" i="2"/>
  <c r="AI134" i="2"/>
  <c r="AO103" i="2"/>
  <c r="AP102" i="2"/>
  <c r="AK109" i="2"/>
  <c r="AO96" i="2"/>
  <c r="AO221" i="2" s="1"/>
  <c r="AP86" i="2"/>
  <c r="AN162" i="2" l="1"/>
  <c r="AM162" i="2"/>
  <c r="AL162" i="2"/>
  <c r="AF155" i="2"/>
  <c r="AG155" i="2" s="1"/>
  <c r="AO132" i="2"/>
  <c r="AH185" i="2"/>
  <c r="AH113" i="2"/>
  <c r="AH121" i="2" s="1"/>
  <c r="AH123" i="2" s="1"/>
  <c r="AH125" i="2" s="1"/>
  <c r="AH183" i="2" s="1"/>
  <c r="AI137" i="2"/>
  <c r="AI111" i="2"/>
  <c r="AJ197" i="2"/>
  <c r="AJ201" i="2" s="1"/>
  <c r="AK136" i="2"/>
  <c r="AK168" i="2" s="1"/>
  <c r="AJ110" i="2"/>
  <c r="AK133" i="2"/>
  <c r="AJ134" i="2"/>
  <c r="AL109" i="2"/>
  <c r="AP103" i="2"/>
  <c r="AO105" i="2"/>
  <c r="AO106" i="2" s="1"/>
  <c r="AP96" i="2"/>
  <c r="AP221" i="2" s="1"/>
  <c r="AO162" i="2" l="1"/>
  <c r="AP162" i="2" s="1"/>
  <c r="AJ137" i="2"/>
  <c r="AJ111" i="2"/>
  <c r="AL136" i="2"/>
  <c r="AL168" i="2" s="1"/>
  <c r="AL170" i="2" s="1"/>
  <c r="AK110" i="2"/>
  <c r="AK197" i="2"/>
  <c r="AK201" i="2" s="1"/>
  <c r="AI185" i="2"/>
  <c r="AI113" i="2"/>
  <c r="AI121" i="2" s="1"/>
  <c r="AI123" i="2" s="1"/>
  <c r="AI125" i="2" s="1"/>
  <c r="AI183" i="2" s="1"/>
  <c r="AP132" i="2"/>
  <c r="AL133" i="2"/>
  <c r="AK134" i="2"/>
  <c r="AH155" i="2"/>
  <c r="AM109" i="2"/>
  <c r="AP105" i="2"/>
  <c r="AP106" i="2" s="1"/>
  <c r="AK137" i="2" l="1"/>
  <c r="AK111" i="2"/>
  <c r="AL197" i="2"/>
  <c r="AL201" i="2" s="1"/>
  <c r="AM136" i="2"/>
  <c r="AM168" i="2" s="1"/>
  <c r="AL110" i="2"/>
  <c r="AJ185" i="2"/>
  <c r="AJ113" i="2"/>
  <c r="AJ121" i="2" s="1"/>
  <c r="AJ123" i="2" s="1"/>
  <c r="AJ125" i="2" s="1"/>
  <c r="AJ183" i="2" s="1"/>
  <c r="AI155" i="2"/>
  <c r="AM133" i="2"/>
  <c r="AL134" i="2"/>
  <c r="AN109" i="2"/>
  <c r="AN136" i="2" l="1"/>
  <c r="AN168" i="2" s="1"/>
  <c r="AM110" i="2"/>
  <c r="AM197" i="2"/>
  <c r="AM201" i="2" s="1"/>
  <c r="AL137" i="2"/>
  <c r="AL111" i="2"/>
  <c r="AK185" i="2"/>
  <c r="AK113" i="2"/>
  <c r="AK121" i="2" s="1"/>
  <c r="AK123" i="2" s="1"/>
  <c r="AK125" i="2" s="1"/>
  <c r="AK183" i="2" s="1"/>
  <c r="AN133" i="2"/>
  <c r="AM134" i="2"/>
  <c r="AJ155" i="2"/>
  <c r="AO109" i="2"/>
  <c r="AL185" i="2" l="1"/>
  <c r="AL113" i="2"/>
  <c r="AL121" i="2" s="1"/>
  <c r="AL123" i="2" s="1"/>
  <c r="AL125" i="2" s="1"/>
  <c r="AL183" i="2" s="1"/>
  <c r="AM137" i="2"/>
  <c r="AM111" i="2"/>
  <c r="AO136" i="2"/>
  <c r="AO168" i="2" s="1"/>
  <c r="AN110" i="2"/>
  <c r="AN197" i="2"/>
  <c r="AN201" i="2" s="1"/>
  <c r="AK155" i="2"/>
  <c r="AO133" i="2"/>
  <c r="AN134" i="2"/>
  <c r="AP109" i="2"/>
  <c r="AP168" i="2" l="1"/>
  <c r="AO170" i="2"/>
  <c r="AP170" i="2" s="1"/>
  <c r="AN137" i="2"/>
  <c r="AN111" i="2"/>
  <c r="AP136" i="2"/>
  <c r="AO110" i="2"/>
  <c r="AO197" i="2"/>
  <c r="AM185" i="2"/>
  <c r="AM113" i="2"/>
  <c r="AM121" i="2" s="1"/>
  <c r="AM123" i="2" s="1"/>
  <c r="AM125" i="2" s="1"/>
  <c r="AM183" i="2" s="1"/>
  <c r="AP133" i="2"/>
  <c r="AO134" i="2"/>
  <c r="AL155" i="2"/>
  <c r="AO201" i="2" l="1"/>
  <c r="AP197" i="2"/>
  <c r="AP201" i="2" s="1"/>
  <c r="AP110" i="2"/>
  <c r="AP111" i="2" s="1"/>
  <c r="AP113" i="2" s="1"/>
  <c r="AP121" i="2" s="1"/>
  <c r="AP123" i="2" s="1"/>
  <c r="AP125" i="2" s="1"/>
  <c r="AO111" i="2"/>
  <c r="AN185" i="2"/>
  <c r="AN113" i="2"/>
  <c r="AN121" i="2" s="1"/>
  <c r="AN123" i="2" s="1"/>
  <c r="AN125" i="2" s="1"/>
  <c r="AN183" i="2" s="1"/>
  <c r="AO137" i="2"/>
  <c r="AM155" i="2"/>
  <c r="AP134" i="2"/>
  <c r="AO185" i="2" l="1"/>
  <c r="AP185" i="2" s="1"/>
  <c r="AO113" i="2"/>
  <c r="AO121" i="2" s="1"/>
  <c r="AO123" i="2" s="1"/>
  <c r="AO125" i="2" s="1"/>
  <c r="AO183" i="2" s="1"/>
  <c r="AP137" i="2"/>
  <c r="AP183" i="2"/>
  <c r="AN155" i="2"/>
  <c r="AO155" i="2" l="1"/>
  <c r="AP155" i="2" l="1"/>
  <c r="R111" i="2" l="1"/>
  <c r="R113" i="2" l="1"/>
  <c r="R121" i="2" s="1"/>
  <c r="R185" i="2"/>
  <c r="AC185" i="2" s="1"/>
  <c r="R123" i="2"/>
  <c r="R165" i="2" s="1"/>
  <c r="R125" i="2" l="1"/>
  <c r="R173" i="2"/>
  <c r="R183" i="2" l="1"/>
  <c r="R155" i="2"/>
  <c r="S155" i="2" s="1"/>
  <c r="AC183" i="2"/>
  <c r="S165" i="2"/>
  <c r="S173" i="2" s="1"/>
  <c r="R190" i="2"/>
  <c r="R195" i="2" l="1"/>
  <c r="S190" i="2"/>
  <c r="T165" i="2"/>
  <c r="T173" i="2" s="1"/>
  <c r="R156" i="2"/>
  <c r="R175" i="2" s="1"/>
  <c r="S195" i="2"/>
  <c r="S211" i="2" s="1"/>
  <c r="S214" i="2" s="1"/>
  <c r="R211" i="2" l="1"/>
  <c r="R214" i="2" s="1"/>
  <c r="R215" i="2" s="1"/>
  <c r="S156" i="2"/>
  <c r="S175" i="2" s="1"/>
  <c r="T155" i="2"/>
  <c r="U165" i="2"/>
  <c r="U173" i="2" s="1"/>
  <c r="T190" i="2"/>
  <c r="R139" i="2"/>
  <c r="S138" i="2"/>
  <c r="S139" i="2" s="1"/>
  <c r="S213" i="2" l="1"/>
  <c r="S215" i="2" s="1"/>
  <c r="T213" i="2" s="1"/>
  <c r="R148" i="2"/>
  <c r="V165" i="2"/>
  <c r="V173" i="2" s="1"/>
  <c r="U190" i="2"/>
  <c r="T195" i="2"/>
  <c r="T211" i="2" s="1"/>
  <c r="T214" i="2" s="1"/>
  <c r="T215" i="2" s="1"/>
  <c r="U213" i="2" s="1"/>
  <c r="U155" i="2"/>
  <c r="T156" i="2"/>
  <c r="T175" i="2" s="1"/>
  <c r="R150" i="2"/>
  <c r="R177" i="2" s="1"/>
  <c r="S148" i="2"/>
  <c r="S150" i="2" s="1"/>
  <c r="S177" i="2" s="1"/>
  <c r="T138" i="2"/>
  <c r="V155" i="2" l="1"/>
  <c r="U156" i="2"/>
  <c r="U175" i="2"/>
  <c r="U195" i="2"/>
  <c r="U211" i="2" s="1"/>
  <c r="U214" i="2" s="1"/>
  <c r="W165" i="2"/>
  <c r="W173" i="2" s="1"/>
  <c r="W190" i="2" s="1"/>
  <c r="V190" i="2"/>
  <c r="T148" i="2"/>
  <c r="T139" i="2"/>
  <c r="U138" i="2"/>
  <c r="T150" i="2" l="1"/>
  <c r="T177" i="2" s="1"/>
  <c r="U215" i="2"/>
  <c r="V213" i="2" s="1"/>
  <c r="V195" i="2"/>
  <c r="V211" i="2" s="1"/>
  <c r="V214" i="2" s="1"/>
  <c r="X165" i="2"/>
  <c r="X173" i="2" s="1"/>
  <c r="W155" i="2"/>
  <c r="V156" i="2"/>
  <c r="V175" i="2" s="1"/>
  <c r="U148" i="2"/>
  <c r="V215" i="2"/>
  <c r="W213" i="2" s="1"/>
  <c r="V138" i="2"/>
  <c r="U139" i="2"/>
  <c r="Y165" i="2" l="1"/>
  <c r="Y173" i="2" s="1"/>
  <c r="X190" i="2"/>
  <c r="U150" i="2"/>
  <c r="U177" i="2" s="1"/>
  <c r="X155" i="2"/>
  <c r="W156" i="2"/>
  <c r="W175" i="2" s="1"/>
  <c r="W195" i="2"/>
  <c r="V148" i="2"/>
  <c r="W138" i="2"/>
  <c r="V139" i="2"/>
  <c r="W211" i="2" l="1"/>
  <c r="W214" i="2" s="1"/>
  <c r="W215" i="2" s="1"/>
  <c r="V150" i="2"/>
  <c r="V177" i="2" s="1"/>
  <c r="Y155" i="2"/>
  <c r="X156" i="2"/>
  <c r="X175" i="2" s="1"/>
  <c r="X195" i="2"/>
  <c r="X211" i="2" s="1"/>
  <c r="X214" i="2" s="1"/>
  <c r="Z165" i="2"/>
  <c r="Z173" i="2" s="1"/>
  <c r="Y190" i="2"/>
  <c r="W139" i="2"/>
  <c r="X138" i="2"/>
  <c r="X213" i="2" l="1"/>
  <c r="X215" i="2" s="1"/>
  <c r="W148" i="2"/>
  <c r="AA165" i="2"/>
  <c r="AA173" i="2" s="1"/>
  <c r="Z190" i="2"/>
  <c r="W150" i="2"/>
  <c r="W177" i="2" s="1"/>
  <c r="Y195" i="2"/>
  <c r="Y211" i="2" s="1"/>
  <c r="Y214" i="2" s="1"/>
  <c r="Z155" i="2"/>
  <c r="Y156" i="2"/>
  <c r="Y175" i="2" s="1"/>
  <c r="Y138" i="2"/>
  <c r="X139" i="2"/>
  <c r="Y213" i="2" l="1"/>
  <c r="X148" i="2"/>
  <c r="Y215" i="2"/>
  <c r="Z213" i="2" s="1"/>
  <c r="X150" i="2"/>
  <c r="X177" i="2" s="1"/>
  <c r="AA155" i="2"/>
  <c r="Z156" i="2"/>
  <c r="Z175" i="2" s="1"/>
  <c r="Z195" i="2"/>
  <c r="Z211" i="2" s="1"/>
  <c r="Z214" i="2" s="1"/>
  <c r="Z215" i="2" s="1"/>
  <c r="AA213" i="2" s="1"/>
  <c r="AB165" i="2"/>
  <c r="AB173" i="2" s="1"/>
  <c r="AA190" i="2"/>
  <c r="Y148" i="2"/>
  <c r="Y139" i="2"/>
  <c r="Z138" i="2"/>
  <c r="AD165" i="2" l="1"/>
  <c r="AB190" i="2"/>
  <c r="AC190" i="2" s="1"/>
  <c r="AC195" i="2" s="1"/>
  <c r="AC211" i="2" s="1"/>
  <c r="AC214" i="2" s="1"/>
  <c r="AC215" i="2" s="1"/>
  <c r="AP213" i="2" s="1"/>
  <c r="AC165" i="2"/>
  <c r="AC173" i="2" s="1"/>
  <c r="Y150" i="2"/>
  <c r="Y177" i="2" s="1"/>
  <c r="AA195" i="2"/>
  <c r="AA211" i="2" s="1"/>
  <c r="AA214" i="2" s="1"/>
  <c r="AB155" i="2"/>
  <c r="AA156" i="2"/>
  <c r="AA175" i="2" s="1"/>
  <c r="Z148" i="2"/>
  <c r="Z139" i="2"/>
  <c r="AA138" i="2"/>
  <c r="AB195" i="2" l="1"/>
  <c r="AB211" i="2" s="1"/>
  <c r="AB214" i="2" s="1"/>
  <c r="AD173" i="2"/>
  <c r="AD190" i="2" s="1"/>
  <c r="AE165" i="2"/>
  <c r="AE173" i="2" s="1"/>
  <c r="AE190" i="2" s="1"/>
  <c r="AE195" i="2" s="1"/>
  <c r="AE211" i="2" s="1"/>
  <c r="AE214" i="2" s="1"/>
  <c r="AD154" i="2"/>
  <c r="AB156" i="2"/>
  <c r="AB175" i="2" s="1"/>
  <c r="AC155" i="2"/>
  <c r="AC156" i="2" s="1"/>
  <c r="AC175" i="2" s="1"/>
  <c r="AC148" i="2"/>
  <c r="AA215" i="2"/>
  <c r="AB213" i="2" s="1"/>
  <c r="Z150" i="2"/>
  <c r="Z177" i="2" s="1"/>
  <c r="AA139" i="2"/>
  <c r="AB138" i="2"/>
  <c r="AB215" i="2" l="1"/>
  <c r="AD213" i="2" s="1"/>
  <c r="AF165" i="2"/>
  <c r="AF173" i="2" s="1"/>
  <c r="AF190" i="2" s="1"/>
  <c r="AF195" i="2" s="1"/>
  <c r="AF211" i="2" s="1"/>
  <c r="AF214" i="2" s="1"/>
  <c r="AD156" i="2"/>
  <c r="AD175" i="2" s="1"/>
  <c r="AE154" i="2"/>
  <c r="AA148" i="2"/>
  <c r="AD138" i="2"/>
  <c r="AC138" i="2"/>
  <c r="AG165" i="2"/>
  <c r="AG173" i="2" s="1"/>
  <c r="AD195" i="2"/>
  <c r="AD211" i="2" s="1"/>
  <c r="AD214" i="2" s="1"/>
  <c r="AD215" i="2" s="1"/>
  <c r="AF154" i="2"/>
  <c r="AE156" i="2"/>
  <c r="AE175" i="2" s="1"/>
  <c r="AA150" i="2"/>
  <c r="AA177" i="2" s="1"/>
  <c r="AB148" i="2"/>
  <c r="AB139" i="2"/>
  <c r="AC139" i="2" s="1"/>
  <c r="AC150" i="2" s="1"/>
  <c r="AC177" i="2" s="1"/>
  <c r="AD139" i="2" l="1"/>
  <c r="AE138" i="2"/>
  <c r="AE213" i="2"/>
  <c r="AE215" i="2" s="1"/>
  <c r="AD148" i="2"/>
  <c r="AD150" i="2" s="1"/>
  <c r="AD177" i="2" s="1"/>
  <c r="AG190" i="2"/>
  <c r="AH165" i="2"/>
  <c r="AH173" i="2" s="1"/>
  <c r="AG154" i="2"/>
  <c r="AF156" i="2"/>
  <c r="AF175" i="2" s="1"/>
  <c r="AF138" i="2"/>
  <c r="AE139" i="2"/>
  <c r="AB150" i="2"/>
  <c r="AB177" i="2" s="1"/>
  <c r="AG138" i="2" l="1"/>
  <c r="AF139" i="2"/>
  <c r="AH154" i="2"/>
  <c r="AG156" i="2"/>
  <c r="AG175" i="2" s="1"/>
  <c r="AI165" i="2"/>
  <c r="AI173" i="2" s="1"/>
  <c r="AH190" i="2"/>
  <c r="AH195" i="2" s="1"/>
  <c r="AH211" i="2" s="1"/>
  <c r="AH214" i="2" s="1"/>
  <c r="AG195" i="2"/>
  <c r="AG211" i="2" s="1"/>
  <c r="AG214" i="2" s="1"/>
  <c r="AF213" i="2"/>
  <c r="AF215" i="2" s="1"/>
  <c r="AE148" i="2"/>
  <c r="AE150" i="2" s="1"/>
  <c r="AE177" i="2" s="1"/>
  <c r="AF148" i="2" l="1"/>
  <c r="AF150" i="2" s="1"/>
  <c r="AF177" i="2" s="1"/>
  <c r="AG213" i="2"/>
  <c r="AG215" i="2" s="1"/>
  <c r="AJ165" i="2"/>
  <c r="AJ173" i="2" s="1"/>
  <c r="AI190" i="2"/>
  <c r="AI154" i="2"/>
  <c r="AH156" i="2"/>
  <c r="AH175" i="2" s="1"/>
  <c r="AH138" i="2"/>
  <c r="AG139" i="2"/>
  <c r="AJ190" i="2" l="1"/>
  <c r="AJ195" i="2" s="1"/>
  <c r="AJ211" i="2" s="1"/>
  <c r="AJ214" i="2" s="1"/>
  <c r="AK165" i="2"/>
  <c r="AK173" i="2" s="1"/>
  <c r="AI138" i="2"/>
  <c r="AH139" i="2"/>
  <c r="AJ154" i="2"/>
  <c r="AI156" i="2"/>
  <c r="AI175" i="2" s="1"/>
  <c r="AG148" i="2"/>
  <c r="AG150" i="2" s="1"/>
  <c r="AG177" i="2" s="1"/>
  <c r="AH213" i="2"/>
  <c r="AH215" i="2" s="1"/>
  <c r="AI195" i="2"/>
  <c r="AI211" i="2" s="1"/>
  <c r="AI214" i="2" s="1"/>
  <c r="AH148" i="2" l="1"/>
  <c r="AH150" i="2" s="1"/>
  <c r="AH177" i="2" s="1"/>
  <c r="AI213" i="2"/>
  <c r="AI215" i="2" s="1"/>
  <c r="AK154" i="2"/>
  <c r="AJ156" i="2"/>
  <c r="AJ175" i="2" s="1"/>
  <c r="AJ138" i="2"/>
  <c r="AI139" i="2"/>
  <c r="AL165" i="2"/>
  <c r="AL173" i="2" s="1"/>
  <c r="AK190" i="2"/>
  <c r="AK195" i="2" l="1"/>
  <c r="AK211" i="2" s="1"/>
  <c r="AK214" i="2" s="1"/>
  <c r="AM165" i="2"/>
  <c r="AM173" i="2" s="1"/>
  <c r="AL190" i="2"/>
  <c r="AL195" i="2" s="1"/>
  <c r="AL211" i="2" s="1"/>
  <c r="AL214" i="2" s="1"/>
  <c r="AK138" i="2"/>
  <c r="AJ139" i="2"/>
  <c r="AL154" i="2"/>
  <c r="AK156" i="2"/>
  <c r="AK175" i="2" s="1"/>
  <c r="AJ213" i="2"/>
  <c r="AJ215" i="2" s="1"/>
  <c r="AI148" i="2"/>
  <c r="AI150" i="2" s="1"/>
  <c r="AI177" i="2" s="1"/>
  <c r="AK213" i="2" l="1"/>
  <c r="AK215" i="2" s="1"/>
  <c r="AJ148" i="2"/>
  <c r="AJ150" i="2" s="1"/>
  <c r="AJ177" i="2" s="1"/>
  <c r="AM154" i="2"/>
  <c r="AL156" i="2"/>
  <c r="AL175" i="2" s="1"/>
  <c r="AL138" i="2"/>
  <c r="AK139" i="2"/>
  <c r="AN165" i="2"/>
  <c r="AN173" i="2" s="1"/>
  <c r="AM190" i="2"/>
  <c r="AM195" i="2" l="1"/>
  <c r="AM211" i="2" s="1"/>
  <c r="AM214" i="2" s="1"/>
  <c r="AN190" i="2"/>
  <c r="AN195" i="2" s="1"/>
  <c r="AN211" i="2" s="1"/>
  <c r="AN214" i="2" s="1"/>
  <c r="AO165" i="2"/>
  <c r="AO173" i="2" s="1"/>
  <c r="AM138" i="2"/>
  <c r="AL139" i="2"/>
  <c r="AN154" i="2"/>
  <c r="AM156" i="2"/>
  <c r="AM175" i="2" s="1"/>
  <c r="AK148" i="2"/>
  <c r="AK150" i="2" s="1"/>
  <c r="AK177" i="2" s="1"/>
  <c r="AL213" i="2"/>
  <c r="AL215" i="2" s="1"/>
  <c r="AN138" i="2" l="1"/>
  <c r="AM139" i="2"/>
  <c r="AO154" i="2"/>
  <c r="AN156" i="2"/>
  <c r="AN175" i="2" s="1"/>
  <c r="AP165" i="2"/>
  <c r="AP173" i="2" s="1"/>
  <c r="AO190" i="2"/>
  <c r="AM213" i="2"/>
  <c r="AM215" i="2" s="1"/>
  <c r="AL148" i="2"/>
  <c r="AL150" i="2" s="1"/>
  <c r="AL177" i="2" s="1"/>
  <c r="AN213" i="2" l="1"/>
  <c r="AN215" i="2" s="1"/>
  <c r="AM148" i="2"/>
  <c r="AM150" i="2" s="1"/>
  <c r="AM177" i="2" s="1"/>
  <c r="AP154" i="2"/>
  <c r="AP156" i="2" s="1"/>
  <c r="AP175" i="2" s="1"/>
  <c r="AO156" i="2"/>
  <c r="AO175" i="2" s="1"/>
  <c r="AO195" i="2"/>
  <c r="AO211" i="2" s="1"/>
  <c r="AO214" i="2" s="1"/>
  <c r="AP190" i="2"/>
  <c r="AP195" i="2" s="1"/>
  <c r="AP211" i="2" s="1"/>
  <c r="AP214" i="2" s="1"/>
  <c r="AP215" i="2" s="1"/>
  <c r="AP148" i="2" s="1"/>
  <c r="AO138" i="2"/>
  <c r="AN139" i="2"/>
  <c r="AP138" i="2" l="1"/>
  <c r="AO139" i="2"/>
  <c r="AP139" i="2" s="1"/>
  <c r="AP150" i="2"/>
  <c r="AP177" i="2" s="1"/>
  <c r="AO213" i="2"/>
  <c r="AO215" i="2" s="1"/>
  <c r="AO148" i="2" s="1"/>
  <c r="AO150" i="2" s="1"/>
  <c r="AO177" i="2" s="1"/>
  <c r="AN148" i="2"/>
  <c r="AN150" i="2" s="1"/>
  <c r="AN177" i="2" s="1"/>
</calcChain>
</file>

<file path=xl/sharedStrings.xml><?xml version="1.0" encoding="utf-8"?>
<sst xmlns="http://schemas.openxmlformats.org/spreadsheetml/2006/main" count="562" uniqueCount="384">
  <si>
    <t>Index</t>
  </si>
  <si>
    <t>Omschrijving</t>
  </si>
  <si>
    <t>Opening</t>
  </si>
  <si>
    <t>Jaar 1</t>
  </si>
  <si>
    <t>Maand 1</t>
  </si>
  <si>
    <t>ACT/BUD/FCST</t>
  </si>
  <si>
    <t>Maand 2</t>
  </si>
  <si>
    <t>Maand 3</t>
  </si>
  <si>
    <t>Maand 4</t>
  </si>
  <si>
    <t>Maand 5</t>
  </si>
  <si>
    <t>Maand 6</t>
  </si>
  <si>
    <t>Maand 7</t>
  </si>
  <si>
    <t>Maand 8</t>
  </si>
  <si>
    <t>Maand 9</t>
  </si>
  <si>
    <t>Maand 10</t>
  </si>
  <si>
    <t>Maand 11</t>
  </si>
  <si>
    <t>Maand 12</t>
  </si>
  <si>
    <t>Totaal</t>
  </si>
  <si>
    <t>FCST</t>
  </si>
  <si>
    <t>KPI</t>
  </si>
  <si>
    <t>FTEs</t>
  </si>
  <si>
    <t>Werkbare dagen</t>
  </si>
  <si>
    <t>C-level tarief</t>
  </si>
  <si>
    <t>Senior tarief</t>
  </si>
  <si>
    <t>- CEO (C-level)</t>
  </si>
  <si>
    <t>- CFO (C-level)</t>
  </si>
  <si>
    <t>- CMO (Senior-level)</t>
  </si>
  <si>
    <t>- CTO (Senior-level)</t>
  </si>
  <si>
    <t>- HR partner (Senior-level)</t>
  </si>
  <si>
    <t>- HR admin (Medior-level)</t>
  </si>
  <si>
    <t>- Backoffice support (Junior-level)</t>
  </si>
  <si>
    <t>- Data engineer (Medior-level)</t>
  </si>
  <si>
    <t>Fractional C-Suite + Execution Platform voor purpose-gedreven startups en scale-ups.</t>
  </si>
  <si>
    <t>Propositie:</t>
  </si>
  <si>
    <t xml:space="preserve">Veel founders groeien snel maar missen een sterke finance en operations backbone. </t>
  </si>
  <si>
    <t>Wij bouwen en runnen je volledige backoffice, finance, HR en commerciële infrastructuur, zodat jij je volledig kunt focussen op groei.</t>
  </si>
  <si>
    <t>Ideale klantprofiel</t>
  </si>
  <si>
    <t>0-100 medewerkers</t>
  </si>
  <si>
    <t>0-20m omzet</t>
  </si>
  <si>
    <t>funding of bootstrap met runway</t>
  </si>
  <si>
    <t>fintech</t>
  </si>
  <si>
    <t>SaaS</t>
  </si>
  <si>
    <t>impact startups</t>
  </si>
  <si>
    <t>zakelijke dienstverlening</t>
  </si>
  <si>
    <t>onder de rivieren</t>
  </si>
  <si>
    <t>Sectoren</t>
  </si>
  <si>
    <t>energietransitie (techniek en infra)</t>
  </si>
  <si>
    <t>property tech (bouw)</t>
  </si>
  <si>
    <t>managed services</t>
  </si>
  <si>
    <t>agencies</t>
  </si>
  <si>
    <t>founder-led, skin in the game</t>
  </si>
  <si>
    <t>product-market fit (2-5 jaar)</t>
  </si>
  <si>
    <t>scale up (5-10 jaar)</t>
  </si>
  <si>
    <t>seed (0-1 jaar)</t>
  </si>
  <si>
    <t>sterke groeiambitie</t>
  </si>
  <si>
    <t>early (1-2 jaar)</t>
  </si>
  <si>
    <t>high tech innovatie</t>
  </si>
  <si>
    <t>HR structuur</t>
  </si>
  <si>
    <t>Sales structuur</t>
  </si>
  <si>
    <t>Organisatiestructuur</t>
  </si>
  <si>
    <t>Governance</t>
  </si>
  <si>
    <t>Cashflow controle</t>
  </si>
  <si>
    <t>Finance structuur (strakke processen en administratie)</t>
  </si>
  <si>
    <t xml:space="preserve">De founder wordt gedwongen om de rol van CFO, HR manager, COO, CTO en commercie op zich te nemen of besluiten te nemen, waar niet de expertise zit van de founder of ondernemer </t>
  </si>
  <si>
    <t>Er zijn alternatieven in de markt die vooral adviseren of vanuit eigen professie veelal een tijdelijke oplossing kunnen bieden; accountants, consultants, fulltime hires, freelancers</t>
  </si>
  <si>
    <t>Wij bieden c-level strategie, implementatie, infrastructuur en ongoing executie naar de behoefte van jouw onderneming. Zodat jij je kan focussen op de business, groei en sales</t>
  </si>
  <si>
    <t>Niet als consultant</t>
  </si>
  <si>
    <t>Niet als interim</t>
  </si>
  <si>
    <t>Wanneer ondernemers starten en snel groeien ontstaan uitdagingen:</t>
  </si>
  <si>
    <t>Scattered en ineffectief IT landschap</t>
  </si>
  <si>
    <t>accountants: kijken achteruit, niet strategisch, geen opeartioneel ownership/verantwoordelijkheid</t>
  </si>
  <si>
    <t>consultants: adviseren of implementeren oplossingen, maar dragen geen operationeel ownership/verantwoordelijkheid</t>
  </si>
  <si>
    <t>fulltime hires:  vaak te duur, eendimensionaal vanuit eigen professie, te vroeg voor startups</t>
  </si>
  <si>
    <t>freelancers: werken in silo's, geen geintegreerd systeem, deeloplossingen</t>
  </si>
  <si>
    <t>In feite leveren we 3-laags oplossingen</t>
  </si>
  <si>
    <t>1: Fractional C-suite (Strategie)</t>
  </si>
  <si>
    <t>2: Operating infrastructure</t>
  </si>
  <si>
    <t>3: Execution &amp; Ownership</t>
  </si>
  <si>
    <t>CFO: finance, cashflow, forecasting</t>
  </si>
  <si>
    <t>COO: operations, structuur, processen</t>
  </si>
  <si>
    <t>CRO/CMO: sales en marketing structuur</t>
  </si>
  <si>
    <t>CTO/CIO: IT en systems architectuur</t>
  </si>
  <si>
    <t>CHRO: hiring en HR structuur</t>
  </si>
  <si>
    <t>Finance stack:</t>
  </si>
  <si>
    <t>AFAS</t>
  </si>
  <si>
    <t>Management reporting</t>
  </si>
  <si>
    <t>Finance &amp; business control</t>
  </si>
  <si>
    <t>Risk management</t>
  </si>
  <si>
    <t>Forecasting &amp; Budgetting</t>
  </si>
  <si>
    <t>Controle framework</t>
  </si>
  <si>
    <t>Hubspot CRM</t>
  </si>
  <si>
    <t>sales funnel</t>
  </si>
  <si>
    <t>marketing funnel</t>
  </si>
  <si>
    <t>Commercial stack:</t>
  </si>
  <si>
    <t>Operations stack:</t>
  </si>
  <si>
    <t>KPI dashboards</t>
  </si>
  <si>
    <t>interne processen</t>
  </si>
  <si>
    <t>HR stack:</t>
  </si>
  <si>
    <t>hiring</t>
  </si>
  <si>
    <t>payroll</t>
  </si>
  <si>
    <t>HR management</t>
  </si>
  <si>
    <t>Maar dat is niet alles</t>
  </si>
  <si>
    <t>geen volledig c-level team</t>
  </si>
  <si>
    <t>Waardepropositie vanuit de klant</t>
  </si>
  <si>
    <t>✔ Volledige controle over hun cashflow</t>
  </si>
  <si>
    <t>✔ Professionele finance structuur</t>
  </si>
  <si>
    <t>✔ Schaalbare operationele backbone</t>
  </si>
  <si>
    <t>✔ Sales en marketing structuur</t>
  </si>
  <si>
    <t>✔ Strategische C-level begeleiding</t>
  </si>
  <si>
    <t>✔ Snellere en veiligere scaling</t>
  </si>
  <si>
    <t>✔ Minder stress en chaos</t>
  </si>
  <si>
    <t>✔ Meer focus op groei</t>
  </si>
  <si>
    <t>rust + controle + versnelling</t>
  </si>
  <si>
    <t xml:space="preserve">Foundation </t>
  </si>
  <si>
    <t>Startups 2-10 FTE</t>
  </si>
  <si>
    <t>Maandelijkse inzet</t>
  </si>
  <si>
    <t>Software</t>
  </si>
  <si>
    <t>Hubspot</t>
  </si>
  <si>
    <t>Totaal inclusief overhead</t>
  </si>
  <si>
    <t>Marge</t>
  </si>
  <si>
    <t>Prijs</t>
  </si>
  <si>
    <t>Marge%</t>
  </si>
  <si>
    <t>Uren</t>
  </si>
  <si>
    <t>Kosten</t>
  </si>
  <si>
    <t>blendded rate</t>
  </si>
  <si>
    <t>Add-ons</t>
  </si>
  <si>
    <t>- API koppelingen</t>
  </si>
  <si>
    <t>- MS stack</t>
  </si>
  <si>
    <t>- DaaS</t>
  </si>
  <si>
    <t>Growth</t>
  </si>
  <si>
    <t>Startups 10-30 FTE</t>
  </si>
  <si>
    <t>Scale</t>
  </si>
  <si>
    <t>Startups 30-100 FTE</t>
  </si>
  <si>
    <t>Marketing</t>
  </si>
  <si>
    <t>Tarief KP</t>
  </si>
  <si>
    <t>Personeelskosten</t>
  </si>
  <si>
    <t>FTE</t>
  </si>
  <si>
    <t>Management fee</t>
  </si>
  <si>
    <t>Brutosalaris</t>
  </si>
  <si>
    <t>Vakantiegeld</t>
  </si>
  <si>
    <t>Bonus</t>
  </si>
  <si>
    <t>Soc. Lasten</t>
  </si>
  <si>
    <t>Pensioen</t>
  </si>
  <si>
    <t>Uren per maand</t>
  </si>
  <si>
    <t>Werkbare declarabele uren per maand</t>
  </si>
  <si>
    <t>Uurloon</t>
  </si>
  <si>
    <t>Uurloon werkbaar</t>
  </si>
  <si>
    <t>Auto, vergoeding</t>
  </si>
  <si>
    <t>Overige onkosten</t>
  </si>
  <si>
    <t>Huisvesting</t>
  </si>
  <si>
    <t>- Huur</t>
  </si>
  <si>
    <t>- Overige huisvesting</t>
  </si>
  <si>
    <t>Algemene kosten</t>
  </si>
  <si>
    <t>- Verzekeringen</t>
  </si>
  <si>
    <t>- Accountantskosten</t>
  </si>
  <si>
    <t>- Juridische kosten</t>
  </si>
  <si>
    <t>- Website</t>
  </si>
  <si>
    <t>- Events</t>
  </si>
  <si>
    <t>- Advertentie</t>
  </si>
  <si>
    <t>- Relatiegeschenken</t>
  </si>
  <si>
    <t>- Offline campagnes</t>
  </si>
  <si>
    <t>Bonussen</t>
  </si>
  <si>
    <t>Vergoedingen</t>
  </si>
  <si>
    <t>Autokosten</t>
  </si>
  <si>
    <t>Brandstof</t>
  </si>
  <si>
    <t>Managementfee</t>
  </si>
  <si>
    <t>2026-01</t>
  </si>
  <si>
    <t>2026-02</t>
  </si>
  <si>
    <t>2026-03</t>
  </si>
  <si>
    <t>2026-04</t>
  </si>
  <si>
    <t>2026-05</t>
  </si>
  <si>
    <t>2026-06</t>
  </si>
  <si>
    <t>2026-07</t>
  </si>
  <si>
    <t>2026-08</t>
  </si>
  <si>
    <t>2026-09</t>
  </si>
  <si>
    <t>2026-10</t>
  </si>
  <si>
    <t>2026-11</t>
  </si>
  <si>
    <t>2026-12</t>
  </si>
  <si>
    <t>Brutosalarissen</t>
  </si>
  <si>
    <t>Overige personeelskosten (3%)</t>
  </si>
  <si>
    <t>- Overige algemene kosten (25%)</t>
  </si>
  <si>
    <t>- Online campagnes</t>
  </si>
  <si>
    <t>- Overige marketing (10%)</t>
  </si>
  <si>
    <t>- AFAS omgeving</t>
  </si>
  <si>
    <t>- AFAS licenties</t>
  </si>
  <si>
    <t>- Hubspot omgeving</t>
  </si>
  <si>
    <t>- Hubspot licenties</t>
  </si>
  <si>
    <t>- Hubspot marketing</t>
  </si>
  <si>
    <t>- Overige marketing tooling</t>
  </si>
  <si>
    <t>- IT beheer</t>
  </si>
  <si>
    <t>- Telefonie/Internet</t>
  </si>
  <si>
    <t>- Overige automatisering (10%)</t>
  </si>
  <si>
    <t>- Data platform en dashboarding</t>
  </si>
  <si>
    <t>Aantal klanten Foundation</t>
  </si>
  <si>
    <t>Aantal klanten Growth</t>
  </si>
  <si>
    <t>Aantal klanten Scale</t>
  </si>
  <si>
    <t>Tarief klanten Foundation</t>
  </si>
  <si>
    <t>Tarief klanten Growth</t>
  </si>
  <si>
    <t>Tarief klanten Scale</t>
  </si>
  <si>
    <t>MRR klanten Foundation</t>
  </si>
  <si>
    <t>MRR klanten Growth</t>
  </si>
  <si>
    <t>MRR klanten Scale</t>
  </si>
  <si>
    <t>Norm uren klanten Foundation</t>
  </si>
  <si>
    <t>Norm uren klanten Growth</t>
  </si>
  <si>
    <t>Norm uren klanten Scale</t>
  </si>
  <si>
    <t>- HR partner (Senior-level) tarief</t>
  </si>
  <si>
    <t>- HR admin (Medior-level) tarief</t>
  </si>
  <si>
    <t>- Backoffice support (Junior-level) tarief</t>
  </si>
  <si>
    <t>- Data engineer (Medior-level) tarief</t>
  </si>
  <si>
    <t>Tarieven</t>
  </si>
  <si>
    <t>Klanturen</t>
  </si>
  <si>
    <t>- Finance admin (Senior-level)</t>
  </si>
  <si>
    <t>- Finance admin (Sedior-level)</t>
  </si>
  <si>
    <t>- Finance admin (Senior-level) tarief</t>
  </si>
  <si>
    <t>Winst en verlies</t>
  </si>
  <si>
    <t>Omzet Foundation</t>
  </si>
  <si>
    <t>Omzet Growth</t>
  </si>
  <si>
    <t>Omzet Scale</t>
  </si>
  <si>
    <t>Omzet opstartfee</t>
  </si>
  <si>
    <t>Totaal omzet</t>
  </si>
  <si>
    <t>Kostprijs AFAS licenties</t>
  </si>
  <si>
    <t>Kostprijs Hubspot licenties</t>
  </si>
  <si>
    <t>Totaal kostprijs</t>
  </si>
  <si>
    <t>Totaal personeelskosten</t>
  </si>
  <si>
    <t>Overige bedrijfskosten</t>
  </si>
  <si>
    <t>Totaal overige bedrijfskosten</t>
  </si>
  <si>
    <t>EBITDA</t>
  </si>
  <si>
    <t>2027-01</t>
  </si>
  <si>
    <t>2027-02</t>
  </si>
  <si>
    <t>2027-03</t>
  </si>
  <si>
    <t>2027-04</t>
  </si>
  <si>
    <t>2027-05</t>
  </si>
  <si>
    <t>2027-06</t>
  </si>
  <si>
    <t>2027-07</t>
  </si>
  <si>
    <t>2027-08</t>
  </si>
  <si>
    <t>2027-09</t>
  </si>
  <si>
    <t>2027-10</t>
  </si>
  <si>
    <t>2027-11</t>
  </si>
  <si>
    <t>2027-12</t>
  </si>
  <si>
    <t>Gemiddelde recurring omzet per klant</t>
  </si>
  <si>
    <t>Maar als strategisch operator-partner, van strategie tot executeren</t>
  </si>
  <si>
    <t>Afschrijvingen - inventaris</t>
  </si>
  <si>
    <t>Afschrijvingen - computerapparatuur</t>
  </si>
  <si>
    <t>Totaal afschrijvingen</t>
  </si>
  <si>
    <t>EBIT</t>
  </si>
  <si>
    <t>Afschrijvingen - immaterieel</t>
  </si>
  <si>
    <t>Bankkosten</t>
  </si>
  <si>
    <t>Rente lasten</t>
  </si>
  <si>
    <t>Rente baten</t>
  </si>
  <si>
    <t>Overige financiele baten en lasten</t>
  </si>
  <si>
    <t>Vennootschapsbelasting</t>
  </si>
  <si>
    <t>Resultaat voor belasting</t>
  </si>
  <si>
    <t>Resultaat na belasting</t>
  </si>
  <si>
    <t>Balans</t>
  </si>
  <si>
    <t>Inventaris</t>
  </si>
  <si>
    <t>Afschrijving inventaris</t>
  </si>
  <si>
    <t>Computerapparatuur</t>
  </si>
  <si>
    <t>Afschrijving computerapparatuur</t>
  </si>
  <si>
    <t>Totaal materiele vaste activa</t>
  </si>
  <si>
    <t>Software platform</t>
  </si>
  <si>
    <t>Afschrijving software platform</t>
  </si>
  <si>
    <t>Totaal immateriele vaste activa</t>
  </si>
  <si>
    <t>Debiteuren</t>
  </si>
  <si>
    <t>Rekening-Courant Holding</t>
  </si>
  <si>
    <t>Vooruitbetaalde licenties</t>
  </si>
  <si>
    <t>Vooruitbetaalde kosten</t>
  </si>
  <si>
    <t>Liquide middelen</t>
  </si>
  <si>
    <t>Totaal activa</t>
  </si>
  <si>
    <t>Aandelenkapitaal</t>
  </si>
  <si>
    <t>Overige reserve</t>
  </si>
  <si>
    <t>Agio reserve</t>
  </si>
  <si>
    <t>Resultaat lopend boekjaar</t>
  </si>
  <si>
    <t>Totaal eigen vermogen</t>
  </si>
  <si>
    <t>Ontvangen gelden leningen u/g</t>
  </si>
  <si>
    <t>Ontvangen gelden leningen u/g 2</t>
  </si>
  <si>
    <t>Totaal lang vreemd vermogen</t>
  </si>
  <si>
    <t>Crediteuren</t>
  </si>
  <si>
    <t>Nog te factureren omzet</t>
  </si>
  <si>
    <t>Vooruitgefactureerde omzet</t>
  </si>
  <si>
    <t>Nog te ontvangen facturen</t>
  </si>
  <si>
    <t>Te betalen venootschap</t>
  </si>
  <si>
    <t>Uit te betalen dividend</t>
  </si>
  <si>
    <t>Overige kortlopende schulden</t>
  </si>
  <si>
    <t>Totaal kortlopende schulden</t>
  </si>
  <si>
    <t>Totaal passiva</t>
  </si>
  <si>
    <t>Netto winst</t>
  </si>
  <si>
    <t>Kasstroomoverzicht</t>
  </si>
  <si>
    <t>Afschrijvingen</t>
  </si>
  <si>
    <t>Check</t>
  </si>
  <si>
    <t>Financiele kosten en inkomsten</t>
  </si>
  <si>
    <t>Mutaties in voorzieningen</t>
  </si>
  <si>
    <t>Wijzigingen in handels- en overige vorderingen</t>
  </si>
  <si>
    <t>Wijzigingen in handels- en overige schulden</t>
  </si>
  <si>
    <t>Ontvangen/betaalde rente</t>
  </si>
  <si>
    <t>Inkomstenbelasting ontvangen/betaald</t>
  </si>
  <si>
    <t>Nettokasstromen uit operations</t>
  </si>
  <si>
    <t>Aankoop van (im)materiele activa</t>
  </si>
  <si>
    <t>Garanties</t>
  </si>
  <si>
    <t>Nettokasstromen uit investeringen</t>
  </si>
  <si>
    <t>Uitgifte van aandelen</t>
  </si>
  <si>
    <t>Inbreng in contanten</t>
  </si>
  <si>
    <t>Dividend uitgekeerd</t>
  </si>
  <si>
    <t>Lening mutaties</t>
  </si>
  <si>
    <t>Mutatie rc</t>
  </si>
  <si>
    <t>Nettostromen uit financieringen</t>
  </si>
  <si>
    <t>Netto mutatie geldmiddelen</t>
  </si>
  <si>
    <t>Liquide middelen begin</t>
  </si>
  <si>
    <t>Liquide middelen eind</t>
  </si>
  <si>
    <t>Totaal financiele baten en lasten</t>
  </si>
  <si>
    <t>Belastinglatentie</t>
  </si>
  <si>
    <t>Totaal vlottende activa</t>
  </si>
  <si>
    <t>%</t>
  </si>
  <si>
    <t>Omzet Exitfee</t>
  </si>
  <si>
    <t>Omzet Projecten</t>
  </si>
  <si>
    <t>BTW te vorderen</t>
  </si>
  <si>
    <t>BTW te betalen</t>
  </si>
  <si>
    <t>Afdracht BTW</t>
  </si>
  <si>
    <t>Reservering vakantiegeld</t>
  </si>
  <si>
    <t>Reservering vakantiedagen</t>
  </si>
  <si>
    <t>Deliverables</t>
  </si>
  <si>
    <t>- Dashboarding en KPIs</t>
  </si>
  <si>
    <t>- Maandafsluiting en rapportages</t>
  </si>
  <si>
    <t>- Modern en altijd up-to-date ingerichte backbone, IT omgeving en administratie gebaseerd op AFAS &amp; Hubspot</t>
  </si>
  <si>
    <t>- Sparring sessies en inzet op C- en senior level niveau</t>
  </si>
  <si>
    <t>- Voorbereiden van jaarwerk</t>
  </si>
  <si>
    <t>- On- en offboarding medewerkers</t>
  </si>
  <si>
    <t>- HR management waaronder indienst en uitdienst</t>
  </si>
  <si>
    <t>- Financiele administratie optioneel salarisadministratie, projectadministratie, voorraadadministratie</t>
  </si>
  <si>
    <t>AFAS licenties</t>
  </si>
  <si>
    <t>- Transformation en change trajecten</t>
  </si>
  <si>
    <t>- M&amp;A en corporate finance trajecten</t>
  </si>
  <si>
    <t>- AV sessies (max 4x per jaar)</t>
  </si>
  <si>
    <t>- Accountantswerkzaamheden (samenstel jaarrekening en VPB). Wordt uitbesteed aan externe accountant.</t>
  </si>
  <si>
    <t>- Controle werkzaamheden accountancy</t>
  </si>
  <si>
    <t>- Certificering trajecten</t>
  </si>
  <si>
    <t>- IT en werkplekbeheer. Kan worden uitbesteed aan partner</t>
  </si>
  <si>
    <t>- Vlootschouw en arbeidsvoorwaarden benchmark</t>
  </si>
  <si>
    <t>Aanvullende diensten op projectbasis of uitbesteden aan partners (voorbeelden)</t>
  </si>
  <si>
    <t>- Fulltime interim</t>
  </si>
  <si>
    <t>- Branding</t>
  </si>
  <si>
    <t>- Professionele, effectief en efficiente processen voor finance, HR, sales en eventueel met marketing, payroll, projecten + ordermanagement</t>
  </si>
  <si>
    <t>- Maandafsluiting en rapportage</t>
  </si>
  <si>
    <t>- Forecast &amp; Budget inclusief cash forecast</t>
  </si>
  <si>
    <t>- Sparring sessies en inzet op C- en senior level</t>
  </si>
  <si>
    <t>- Voorbereiden van het jaarwerk</t>
  </si>
  <si>
    <t>- Sales &amp; Marketing strategie</t>
  </si>
  <si>
    <t>IT-Connectie</t>
  </si>
  <si>
    <t>Deelneming</t>
  </si>
  <si>
    <t>Omzet</t>
  </si>
  <si>
    <t>Adviesfee</t>
  </si>
  <si>
    <t>AFAS+Hubspot</t>
  </si>
  <si>
    <t>Implementatiekosten AFAS+Hubspot</t>
  </si>
  <si>
    <t>Eenmalig</t>
  </si>
  <si>
    <t>Maand</t>
  </si>
  <si>
    <t>Maandkosten</t>
  </si>
  <si>
    <t>Covolt</t>
  </si>
  <si>
    <t>Pakket</t>
  </si>
  <si>
    <t>Foundation+</t>
  </si>
  <si>
    <t>Growth+</t>
  </si>
  <si>
    <t>WDL Kredietfondsen</t>
  </si>
  <si>
    <t>Opstartfee</t>
  </si>
  <si>
    <t>- AFAS en Hubspot Sales/CRM omgeving</t>
  </si>
  <si>
    <t>- Beginbalans</t>
  </si>
  <si>
    <t xml:space="preserve">- Data migratie optioneel </t>
  </si>
  <si>
    <t>Blenddata</t>
  </si>
  <si>
    <t>Baeken</t>
  </si>
  <si>
    <t>Eigen medewerkers</t>
  </si>
  <si>
    <t>Foundation</t>
  </si>
  <si>
    <t>0 - 3m bruto-omzet</t>
  </si>
  <si>
    <t>1 - 8m bruto-omzet</t>
  </si>
  <si>
    <t>6 - 25m bruto-omzet</t>
  </si>
  <si>
    <t>Typologie bedrijven: Dienstverlening (zonder goederenbeweging), Urencapaciteit, Productiebedrijven, Handelsbedrijven</t>
  </si>
  <si>
    <t>Voorbeeld: Projectorganisaties, Consultancy, Advies, Software, MSP, Productie, Energie</t>
  </si>
  <si>
    <t>Automatisering</t>
  </si>
  <si>
    <t>Productiviteit (op basis van ca 1600 uur)</t>
  </si>
  <si>
    <t>Gemiddelde omzet per FTE</t>
  </si>
  <si>
    <t>Gemiddelde personeelskosten per FTE</t>
  </si>
  <si>
    <t>MRR</t>
  </si>
  <si>
    <t>Overhead (25%)</t>
  </si>
  <si>
    <t>Gemiddeld tarief per FTE</t>
  </si>
  <si>
    <t>Dit kan leiden tot chaos, het nemen van sub-optimale of zelfs slechte beslissingen, inefficiencies in processen, spanningen in binnen de organisatiestructuur, cashflow problemen</t>
  </si>
  <si>
    <t>We bouwen vanuit de klantstrategie de backbone van de onderneming en laten dit meegroeien met de levensfase van de onderneming</t>
  </si>
  <si>
    <t>We runnen finance, HR, en brengen structuur aan in sales, marketing en operations. Sturen bij waar nodig en zijn actief betrokken als c-level partners.</t>
  </si>
  <si>
    <t>✔ Netwerk van specialisten, investeerders die snel kunnen inspelen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</si>
</sst>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0_ ;_ * \-#,##0.0_ ;_ * &quot;-&quot;??_ ;_ @_ "/>
    <numFmt numFmtId="165" formatCode="_ * #,##0_ ;_ * \-#,##0_ ;_ * &quot;-&quot;??_ ;_ @_ "/>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theme="0" tint="-0.14999847407452621"/>
      <name val="Aptos Narrow"/>
      <family val="2"/>
      <scheme val="minor"/>
    </font>
    <font>
      <b/>
      <u/>
      <sz val="11"/>
      <color theme="1"/>
      <name val="Aptos Narrow"/>
      <family val="2"/>
      <scheme val="minor"/>
    </font>
    <font>
      <i/>
      <sz val="11"/>
      <color theme="1"/>
      <name val="Aptos Narrow"/>
      <family val="2"/>
      <scheme val="minor"/>
    </font>
    <font>
      <b/>
      <i/>
      <sz val="10"/>
      <color theme="1"/>
      <name val="Aptos Narrow"/>
      <family val="2"/>
      <scheme val="minor"/>
    </font>
    <font>
      <b/>
      <sz val="11"/>
      <color theme="0" tint="-0.14999847407452621"/>
      <name val="Aptos Narrow"/>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4" fillId="0" borderId="0" xfId="0" applyFont="1"/>
    <xf numFmtId="0" fontId="2" fillId="0" borderId="0" xfId="0" applyFont="1"/>
    <xf numFmtId="0" fontId="2" fillId="0" borderId="1" xfId="0" applyFont="1" applyBorder="1"/>
    <xf numFmtId="0" fontId="0" fillId="0" borderId="0" xfId="0" quotePrefix="1"/>
    <xf numFmtId="164" fontId="0" fillId="0" borderId="0" xfId="1" applyNumberFormat="1" applyFont="1"/>
    <xf numFmtId="165" fontId="0" fillId="0" borderId="0" xfId="1" applyNumberFormat="1" applyFont="1"/>
    <xf numFmtId="165" fontId="0" fillId="0" borderId="0" xfId="0" applyNumberFormat="1"/>
    <xf numFmtId="0" fontId="5" fillId="0" borderId="0" xfId="0" applyFont="1"/>
    <xf numFmtId="0" fontId="6" fillId="0" borderId="0" xfId="0" applyFont="1"/>
    <xf numFmtId="9" fontId="0" fillId="0" borderId="0" xfId="2" applyFont="1"/>
    <xf numFmtId="9" fontId="6" fillId="0" borderId="0" xfId="2" applyFont="1"/>
    <xf numFmtId="165" fontId="2" fillId="0" borderId="0" xfId="0" applyNumberFormat="1" applyFont="1"/>
    <xf numFmtId="165" fontId="2" fillId="0" borderId="0" xfId="1" applyNumberFormat="1" applyFont="1"/>
    <xf numFmtId="1" fontId="0" fillId="0" borderId="0" xfId="0" applyNumberFormat="1"/>
    <xf numFmtId="164" fontId="0" fillId="0" borderId="0" xfId="0" applyNumberFormat="1"/>
    <xf numFmtId="0" fontId="4" fillId="2" borderId="0" xfId="0" applyFont="1" applyFill="1"/>
    <xf numFmtId="0" fontId="0" fillId="2" borderId="0" xfId="0" applyFill="1"/>
    <xf numFmtId="165" fontId="0" fillId="2" borderId="0" xfId="0" applyNumberFormat="1" applyFill="1"/>
    <xf numFmtId="165" fontId="0" fillId="2" borderId="0" xfId="1" applyNumberFormat="1" applyFont="1" applyFill="1"/>
    <xf numFmtId="165" fontId="2" fillId="2" borderId="0" xfId="0" applyNumberFormat="1" applyFont="1" applyFill="1"/>
    <xf numFmtId="165" fontId="2" fillId="2" borderId="0" xfId="1" applyNumberFormat="1" applyFont="1" applyFill="1"/>
    <xf numFmtId="0" fontId="0" fillId="0" borderId="1" xfId="0" applyBorder="1"/>
    <xf numFmtId="0" fontId="7" fillId="0" borderId="0" xfId="0" applyFont="1"/>
    <xf numFmtId="0" fontId="8" fillId="0" borderId="0" xfId="0" applyFont="1"/>
    <xf numFmtId="165" fontId="8" fillId="0" borderId="0" xfId="1" applyNumberFormat="1" applyFont="1"/>
    <xf numFmtId="9" fontId="6" fillId="2" borderId="0" xfId="2" applyFont="1" applyFill="1"/>
    <xf numFmtId="0" fontId="2" fillId="2" borderId="0" xfId="0" applyFont="1" applyFill="1"/>
    <xf numFmtId="165" fontId="4" fillId="0" borderId="0" xfId="1" applyNumberFormat="1" applyFont="1"/>
    <xf numFmtId="164" fontId="0" fillId="2" borderId="0" xfId="0" applyNumberFormat="1" applyFill="1"/>
  </cellXfs>
  <cellStyles count="3">
    <cellStyle name="Komma" xfId="1" builtinId="3"/>
    <cellStyle name="Procent" xfId="2" builtinId="5"/>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B436-92B8-40B7-95CB-906B800BEFC1}">
  <dimension ref="A1:P27"/>
  <sheetViews>
    <sheetView workbookViewId="0">
      <selection activeCell="L23" sqref="L23"/>
    </sheetView>
  </sheetViews>
  <sheetFormatPr defaultRowHeight="14.4" x14ac:dyDescent="0.3"/>
  <cols>
    <col min="2" max="2" width="11.44140625" bestFit="1" customWidth="1"/>
    <col min="3" max="3" width="7.6640625" bestFit="1" customWidth="1"/>
    <col min="4" max="16" width="13.33203125" bestFit="1" customWidth="1"/>
  </cols>
  <sheetData>
    <row r="1" spans="1:16" x14ac:dyDescent="0.3">
      <c r="A1" t="s">
        <v>0</v>
      </c>
      <c r="B1">
        <f>COLUMN()</f>
        <v>2</v>
      </c>
      <c r="C1">
        <f>COLUMN()</f>
        <v>3</v>
      </c>
      <c r="D1">
        <f>COLUMN()</f>
        <v>4</v>
      </c>
      <c r="E1">
        <f>COLUMN()</f>
        <v>5</v>
      </c>
      <c r="F1">
        <f>COLUMN()</f>
        <v>6</v>
      </c>
      <c r="G1">
        <f>COLUMN()</f>
        <v>7</v>
      </c>
      <c r="H1">
        <f>COLUMN()</f>
        <v>8</v>
      </c>
      <c r="I1">
        <f>COLUMN()</f>
        <v>9</v>
      </c>
      <c r="J1">
        <f>COLUMN()</f>
        <v>10</v>
      </c>
      <c r="K1">
        <f>COLUMN()</f>
        <v>11</v>
      </c>
      <c r="L1">
        <f>COLUMN()</f>
        <v>12</v>
      </c>
      <c r="M1">
        <f>COLUMN()</f>
        <v>13</v>
      </c>
      <c r="N1">
        <f>COLUMN()</f>
        <v>14</v>
      </c>
      <c r="O1">
        <f>COLUMN()</f>
        <v>15</v>
      </c>
      <c r="P1">
        <f>COLUMN()</f>
        <v>16</v>
      </c>
    </row>
    <row r="2" spans="1:16" x14ac:dyDescent="0.3">
      <c r="A2">
        <f>ROW()</f>
        <v>2</v>
      </c>
      <c r="B2" t="s">
        <v>1</v>
      </c>
      <c r="C2" t="s">
        <v>2</v>
      </c>
      <c r="D2" t="s">
        <v>3</v>
      </c>
      <c r="E2" t="str">
        <f>D2</f>
        <v>Jaar 1</v>
      </c>
      <c r="F2" t="str">
        <f t="shared" ref="F2:P2" si="0">E2</f>
        <v>Jaar 1</v>
      </c>
      <c r="G2" t="str">
        <f t="shared" si="0"/>
        <v>Jaar 1</v>
      </c>
      <c r="H2" t="str">
        <f t="shared" si="0"/>
        <v>Jaar 1</v>
      </c>
      <c r="I2" t="str">
        <f t="shared" si="0"/>
        <v>Jaar 1</v>
      </c>
      <c r="J2" t="str">
        <f t="shared" si="0"/>
        <v>Jaar 1</v>
      </c>
      <c r="K2" t="str">
        <f t="shared" si="0"/>
        <v>Jaar 1</v>
      </c>
      <c r="L2" t="str">
        <f>K2</f>
        <v>Jaar 1</v>
      </c>
      <c r="M2" t="str">
        <f t="shared" si="0"/>
        <v>Jaar 1</v>
      </c>
      <c r="N2" t="str">
        <f t="shared" si="0"/>
        <v>Jaar 1</v>
      </c>
      <c r="O2" t="str">
        <f t="shared" si="0"/>
        <v>Jaar 1</v>
      </c>
      <c r="P2" t="str">
        <f t="shared" si="0"/>
        <v>Jaar 1</v>
      </c>
    </row>
    <row r="3" spans="1:16" x14ac:dyDescent="0.3">
      <c r="A3">
        <f>ROW()</f>
        <v>3</v>
      </c>
      <c r="D3" t="s">
        <v>5</v>
      </c>
      <c r="E3" t="s">
        <v>5</v>
      </c>
      <c r="F3" t="s">
        <v>5</v>
      </c>
      <c r="G3" t="s">
        <v>5</v>
      </c>
      <c r="H3" t="s">
        <v>5</v>
      </c>
      <c r="I3" t="s">
        <v>5</v>
      </c>
      <c r="J3" t="s">
        <v>5</v>
      </c>
      <c r="K3" t="s">
        <v>5</v>
      </c>
      <c r="L3" t="s">
        <v>5</v>
      </c>
      <c r="M3" t="s">
        <v>5</v>
      </c>
      <c r="N3" t="s">
        <v>5</v>
      </c>
      <c r="O3" t="s">
        <v>5</v>
      </c>
      <c r="P3" t="s">
        <v>5</v>
      </c>
    </row>
    <row r="4" spans="1:16" x14ac:dyDescent="0.3">
      <c r="A4">
        <f>ROW()</f>
        <v>4</v>
      </c>
      <c r="D4" t="s">
        <v>4</v>
      </c>
      <c r="E4" t="s">
        <v>6</v>
      </c>
      <c r="F4" t="s">
        <v>7</v>
      </c>
      <c r="G4" t="s">
        <v>8</v>
      </c>
      <c r="H4" t="s">
        <v>9</v>
      </c>
      <c r="I4" t="s">
        <v>10</v>
      </c>
      <c r="J4" t="s">
        <v>11</v>
      </c>
      <c r="K4" t="s">
        <v>12</v>
      </c>
      <c r="L4" t="s">
        <v>13</v>
      </c>
      <c r="M4" t="s">
        <v>14</v>
      </c>
      <c r="N4" t="s">
        <v>15</v>
      </c>
      <c r="O4" t="s">
        <v>16</v>
      </c>
      <c r="P4" t="s">
        <v>17</v>
      </c>
    </row>
    <row r="5" spans="1:16" x14ac:dyDescent="0.3">
      <c r="A5">
        <f>ROW()</f>
        <v>5</v>
      </c>
    </row>
    <row r="6" spans="1:16" x14ac:dyDescent="0.3">
      <c r="A6">
        <f>ROW()</f>
        <v>6</v>
      </c>
    </row>
    <row r="7" spans="1:16" x14ac:dyDescent="0.3">
      <c r="A7">
        <f>ROW()</f>
        <v>7</v>
      </c>
    </row>
    <row r="8" spans="1:16" x14ac:dyDescent="0.3">
      <c r="A8">
        <f>ROW()</f>
        <v>8</v>
      </c>
    </row>
    <row r="9" spans="1:16" x14ac:dyDescent="0.3">
      <c r="A9">
        <f>ROW()</f>
        <v>9</v>
      </c>
    </row>
    <row r="10" spans="1:16" x14ac:dyDescent="0.3">
      <c r="A10">
        <f>ROW()</f>
        <v>10</v>
      </c>
    </row>
    <row r="11" spans="1:16" x14ac:dyDescent="0.3">
      <c r="A11">
        <f>ROW()</f>
        <v>11</v>
      </c>
    </row>
    <row r="12" spans="1:16" x14ac:dyDescent="0.3">
      <c r="A12">
        <f>ROW()</f>
        <v>12</v>
      </c>
    </row>
    <row r="13" spans="1:16" x14ac:dyDescent="0.3">
      <c r="A13">
        <f>ROW()</f>
        <v>13</v>
      </c>
    </row>
    <row r="14" spans="1:16" x14ac:dyDescent="0.3">
      <c r="A14">
        <f>ROW()</f>
        <v>14</v>
      </c>
    </row>
    <row r="15" spans="1:16" x14ac:dyDescent="0.3">
      <c r="A15">
        <f>ROW()</f>
        <v>15</v>
      </c>
    </row>
    <row r="16" spans="1:16" x14ac:dyDescent="0.3">
      <c r="A16">
        <f>ROW()</f>
        <v>16</v>
      </c>
    </row>
    <row r="17" spans="1:1" x14ac:dyDescent="0.3">
      <c r="A17">
        <f>ROW()</f>
        <v>17</v>
      </c>
    </row>
    <row r="18" spans="1:1" x14ac:dyDescent="0.3">
      <c r="A18">
        <f>ROW()</f>
        <v>18</v>
      </c>
    </row>
    <row r="19" spans="1:1" x14ac:dyDescent="0.3">
      <c r="A19">
        <f>ROW()</f>
        <v>19</v>
      </c>
    </row>
    <row r="20" spans="1:1" x14ac:dyDescent="0.3">
      <c r="A20">
        <f>ROW()</f>
        <v>20</v>
      </c>
    </row>
    <row r="21" spans="1:1" x14ac:dyDescent="0.3">
      <c r="A21">
        <f>ROW()</f>
        <v>21</v>
      </c>
    </row>
    <row r="22" spans="1:1" x14ac:dyDescent="0.3">
      <c r="A22">
        <f>ROW()</f>
        <v>22</v>
      </c>
    </row>
    <row r="23" spans="1:1" x14ac:dyDescent="0.3">
      <c r="A23">
        <f>ROW()</f>
        <v>23</v>
      </c>
    </row>
    <row r="24" spans="1:1" x14ac:dyDescent="0.3">
      <c r="A24">
        <f>ROW()</f>
        <v>24</v>
      </c>
    </row>
    <row r="25" spans="1:1" x14ac:dyDescent="0.3">
      <c r="A25">
        <f>ROW()</f>
        <v>25</v>
      </c>
    </row>
    <row r="26" spans="1:1" x14ac:dyDescent="0.3">
      <c r="A26">
        <f>ROW()</f>
        <v>26</v>
      </c>
    </row>
    <row r="27" spans="1:1" x14ac:dyDescent="0.3">
      <c r="A27">
        <f>ROW()</f>
        <v>27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BC33-9A07-41FE-8335-5858C1CD2227}">
  <dimension ref="A1:AP223"/>
  <sheetViews>
    <sheetView zoomScale="85" zoomScaleNormal="85" workbookViewId="0">
      <pane xSplit="2" ySplit="6" topLeftCell="Z7" activePane="bottomRight" state="frozen"/>
      <selection pane="topRight" activeCell="C1" sqref="C1"/>
      <selection pane="bottomLeft" activeCell="A7" sqref="A7"/>
      <selection pane="bottomRight" activeCell="D223" sqref="D223:O223"/>
    </sheetView>
  </sheetViews>
  <sheetFormatPr defaultRowHeight="14.4" outlineLevelRow="1" x14ac:dyDescent="0.3"/>
  <cols>
    <col min="1" max="1" width="8.88671875" style="1"/>
    <col min="2" max="2" width="37.6640625" customWidth="1"/>
    <col min="3" max="3" width="16.44140625" bestFit="1" customWidth="1"/>
    <col min="4" max="5" width="17.77734375" bestFit="1" customWidth="1"/>
    <col min="6" max="6" width="16.5546875" bestFit="1" customWidth="1"/>
    <col min="7" max="15" width="13.6640625" bestFit="1" customWidth="1"/>
    <col min="16" max="16" width="16.5546875" bestFit="1" customWidth="1"/>
    <col min="17" max="28" width="10" bestFit="1" customWidth="1"/>
    <col min="29" max="29" width="16.5546875" bestFit="1" customWidth="1"/>
    <col min="30" max="41" width="10" bestFit="1" customWidth="1"/>
    <col min="42" max="42" width="16.5546875" bestFit="1" customWidth="1"/>
  </cols>
  <sheetData>
    <row r="1" spans="1:42" s="1" customFormat="1" x14ac:dyDescent="0.3">
      <c r="A1" s="1" t="s">
        <v>0</v>
      </c>
      <c r="B1" s="1">
        <f>COLUMN()</f>
        <v>2</v>
      </c>
      <c r="C1" s="16">
        <f>COLUMN()</f>
        <v>3</v>
      </c>
      <c r="D1" s="1">
        <f>COLUMN()</f>
        <v>4</v>
      </c>
      <c r="E1" s="1">
        <f>COLUMN()</f>
        <v>5</v>
      </c>
      <c r="F1" s="1">
        <f>COLUMN()</f>
        <v>6</v>
      </c>
      <c r="G1" s="1">
        <f>COLUMN()</f>
        <v>7</v>
      </c>
      <c r="H1" s="1">
        <f>COLUMN()</f>
        <v>8</v>
      </c>
      <c r="I1" s="1">
        <f>COLUMN()</f>
        <v>9</v>
      </c>
      <c r="J1" s="1">
        <f>COLUMN()</f>
        <v>10</v>
      </c>
      <c r="K1" s="1">
        <f>COLUMN()</f>
        <v>11</v>
      </c>
      <c r="L1" s="1">
        <f>COLUMN()</f>
        <v>12</v>
      </c>
      <c r="M1" s="1">
        <f>COLUMN()</f>
        <v>13</v>
      </c>
      <c r="N1" s="1">
        <f>COLUMN()</f>
        <v>14</v>
      </c>
      <c r="O1" s="1">
        <f>COLUMN()</f>
        <v>15</v>
      </c>
      <c r="P1" s="16">
        <f>COLUMN()</f>
        <v>16</v>
      </c>
      <c r="Q1" s="1">
        <f>COLUMN()</f>
        <v>17</v>
      </c>
      <c r="R1" s="1">
        <f>COLUMN()</f>
        <v>18</v>
      </c>
      <c r="S1" s="1">
        <f>COLUMN()</f>
        <v>19</v>
      </c>
      <c r="T1" s="1">
        <f>COLUMN()</f>
        <v>20</v>
      </c>
      <c r="U1" s="1">
        <f>COLUMN()</f>
        <v>21</v>
      </c>
      <c r="V1" s="1">
        <f>COLUMN()</f>
        <v>22</v>
      </c>
      <c r="W1" s="1">
        <f>COLUMN()</f>
        <v>23</v>
      </c>
      <c r="X1" s="1">
        <f>COLUMN()</f>
        <v>24</v>
      </c>
      <c r="Y1" s="1">
        <f>COLUMN()</f>
        <v>25</v>
      </c>
      <c r="Z1" s="1">
        <f>COLUMN()</f>
        <v>26</v>
      </c>
      <c r="AA1" s="1">
        <f>COLUMN()</f>
        <v>27</v>
      </c>
      <c r="AB1" s="1">
        <f>COLUMN()</f>
        <v>28</v>
      </c>
      <c r="AC1" s="16">
        <f>COLUMN()</f>
        <v>29</v>
      </c>
      <c r="AD1" s="1">
        <f>COLUMN()</f>
        <v>30</v>
      </c>
      <c r="AE1" s="1">
        <f>COLUMN()</f>
        <v>31</v>
      </c>
      <c r="AF1" s="1">
        <f>COLUMN()</f>
        <v>32</v>
      </c>
      <c r="AG1" s="1">
        <f>COLUMN()</f>
        <v>33</v>
      </c>
      <c r="AH1" s="1">
        <f>COLUMN()</f>
        <v>34</v>
      </c>
      <c r="AI1" s="1">
        <f>COLUMN()</f>
        <v>35</v>
      </c>
      <c r="AJ1" s="1">
        <f>COLUMN()</f>
        <v>36</v>
      </c>
      <c r="AK1" s="1">
        <f>COLUMN()</f>
        <v>37</v>
      </c>
      <c r="AL1" s="1">
        <f>COLUMN()</f>
        <v>38</v>
      </c>
      <c r="AM1" s="1">
        <f>COLUMN()</f>
        <v>39</v>
      </c>
      <c r="AN1" s="1">
        <f>COLUMN()</f>
        <v>40</v>
      </c>
      <c r="AO1" s="1">
        <f>COLUMN()</f>
        <v>41</v>
      </c>
      <c r="AP1" s="16">
        <f>COLUMN()</f>
        <v>42</v>
      </c>
    </row>
    <row r="2" spans="1:42" x14ac:dyDescent="0.3">
      <c r="A2" s="1">
        <f>ROW()</f>
        <v>2</v>
      </c>
      <c r="B2" t="s">
        <v>1</v>
      </c>
      <c r="C2" s="27" t="s">
        <v>2</v>
      </c>
      <c r="D2" s="2">
        <v>2026</v>
      </c>
      <c r="E2" s="2">
        <f>D2</f>
        <v>2026</v>
      </c>
      <c r="F2" s="2">
        <f t="shared" ref="F2:P2" si="0">E2</f>
        <v>2026</v>
      </c>
      <c r="G2" s="2">
        <f t="shared" si="0"/>
        <v>2026</v>
      </c>
      <c r="H2" s="2">
        <f t="shared" si="0"/>
        <v>2026</v>
      </c>
      <c r="I2" s="2">
        <f t="shared" si="0"/>
        <v>2026</v>
      </c>
      <c r="J2" s="2">
        <f t="shared" si="0"/>
        <v>2026</v>
      </c>
      <c r="K2" s="2">
        <f t="shared" si="0"/>
        <v>2026</v>
      </c>
      <c r="L2" s="2">
        <f>K2</f>
        <v>2026</v>
      </c>
      <c r="M2" s="2">
        <f t="shared" si="0"/>
        <v>2026</v>
      </c>
      <c r="N2" s="2">
        <f t="shared" si="0"/>
        <v>2026</v>
      </c>
      <c r="O2" s="2">
        <f t="shared" si="0"/>
        <v>2026</v>
      </c>
      <c r="P2" s="27">
        <f t="shared" si="0"/>
        <v>2026</v>
      </c>
      <c r="Q2" s="2">
        <v>2027</v>
      </c>
      <c r="R2" s="2">
        <f>Q2</f>
        <v>2027</v>
      </c>
      <c r="S2" s="2">
        <f t="shared" ref="S2:X2" si="1">R2</f>
        <v>2027</v>
      </c>
      <c r="T2" s="2">
        <f t="shared" si="1"/>
        <v>2027</v>
      </c>
      <c r="U2" s="2">
        <f t="shared" si="1"/>
        <v>2027</v>
      </c>
      <c r="V2" s="2">
        <f t="shared" si="1"/>
        <v>2027</v>
      </c>
      <c r="W2" s="2">
        <f t="shared" si="1"/>
        <v>2027</v>
      </c>
      <c r="X2" s="2">
        <f t="shared" si="1"/>
        <v>2027</v>
      </c>
      <c r="Y2" s="2">
        <f>X2</f>
        <v>2027</v>
      </c>
      <c r="Z2" s="2">
        <f t="shared" ref="Z2:AC2" si="2">Y2</f>
        <v>2027</v>
      </c>
      <c r="AA2" s="2">
        <f t="shared" si="2"/>
        <v>2027</v>
      </c>
      <c r="AB2" s="2">
        <f t="shared" si="2"/>
        <v>2027</v>
      </c>
      <c r="AC2" s="27">
        <f t="shared" si="2"/>
        <v>2027</v>
      </c>
      <c r="AD2" s="2">
        <v>2028</v>
      </c>
      <c r="AE2" s="2">
        <f>AD2</f>
        <v>2028</v>
      </c>
      <c r="AF2" s="2">
        <f t="shared" ref="AF2:AF3" si="3">AE2</f>
        <v>2028</v>
      </c>
      <c r="AG2" s="2">
        <f t="shared" ref="AG2:AG3" si="4">AF2</f>
        <v>2028</v>
      </c>
      <c r="AH2" s="2">
        <f t="shared" ref="AH2:AH3" si="5">AG2</f>
        <v>2028</v>
      </c>
      <c r="AI2" s="2">
        <f t="shared" ref="AI2:AI3" si="6">AH2</f>
        <v>2028</v>
      </c>
      <c r="AJ2" s="2">
        <f t="shared" ref="AJ2:AJ3" si="7">AI2</f>
        <v>2028</v>
      </c>
      <c r="AK2" s="2">
        <f t="shared" ref="AK2:AK3" si="8">AJ2</f>
        <v>2028</v>
      </c>
      <c r="AL2" s="2">
        <f>AK2</f>
        <v>2028</v>
      </c>
      <c r="AM2" s="2">
        <f t="shared" ref="AM2:AM3" si="9">AL2</f>
        <v>2028</v>
      </c>
      <c r="AN2" s="2">
        <f t="shared" ref="AN2:AN3" si="10">AM2</f>
        <v>2028</v>
      </c>
      <c r="AO2" s="2">
        <f t="shared" ref="AO2:AO3" si="11">AN2</f>
        <v>2028</v>
      </c>
      <c r="AP2" s="27">
        <f t="shared" ref="AP2:AP3" si="12">AO2</f>
        <v>2028</v>
      </c>
    </row>
    <row r="3" spans="1:42" x14ac:dyDescent="0.3">
      <c r="A3" s="1">
        <f>ROW()</f>
        <v>3</v>
      </c>
      <c r="C3" s="27"/>
      <c r="D3" s="2" t="s">
        <v>18</v>
      </c>
      <c r="E3" s="2" t="str">
        <f>D3</f>
        <v>FCST</v>
      </c>
      <c r="F3" s="2" t="str">
        <f t="shared" ref="F3:P3" si="13">E3</f>
        <v>FCST</v>
      </c>
      <c r="G3" s="2" t="str">
        <f t="shared" si="13"/>
        <v>FCST</v>
      </c>
      <c r="H3" s="2" t="str">
        <f t="shared" si="13"/>
        <v>FCST</v>
      </c>
      <c r="I3" s="2" t="str">
        <f t="shared" si="13"/>
        <v>FCST</v>
      </c>
      <c r="J3" s="2" t="str">
        <f t="shared" si="13"/>
        <v>FCST</v>
      </c>
      <c r="K3" s="2" t="str">
        <f t="shared" si="13"/>
        <v>FCST</v>
      </c>
      <c r="L3" s="2" t="str">
        <f t="shared" si="13"/>
        <v>FCST</v>
      </c>
      <c r="M3" s="2" t="str">
        <f t="shared" si="13"/>
        <v>FCST</v>
      </c>
      <c r="N3" s="2" t="str">
        <f t="shared" si="13"/>
        <v>FCST</v>
      </c>
      <c r="O3" s="2" t="str">
        <f t="shared" si="13"/>
        <v>FCST</v>
      </c>
      <c r="P3" s="27" t="str">
        <f t="shared" si="13"/>
        <v>FCST</v>
      </c>
      <c r="Q3" s="2" t="s">
        <v>18</v>
      </c>
      <c r="R3" s="2" t="str">
        <f>Q3</f>
        <v>FCST</v>
      </c>
      <c r="S3" s="2" t="str">
        <f t="shared" ref="S3:AC3" si="14">R3</f>
        <v>FCST</v>
      </c>
      <c r="T3" s="2" t="str">
        <f t="shared" si="14"/>
        <v>FCST</v>
      </c>
      <c r="U3" s="2" t="str">
        <f t="shared" si="14"/>
        <v>FCST</v>
      </c>
      <c r="V3" s="2" t="str">
        <f t="shared" si="14"/>
        <v>FCST</v>
      </c>
      <c r="W3" s="2" t="str">
        <f t="shared" si="14"/>
        <v>FCST</v>
      </c>
      <c r="X3" s="2" t="str">
        <f t="shared" si="14"/>
        <v>FCST</v>
      </c>
      <c r="Y3" s="2" t="str">
        <f t="shared" si="14"/>
        <v>FCST</v>
      </c>
      <c r="Z3" s="2" t="str">
        <f t="shared" si="14"/>
        <v>FCST</v>
      </c>
      <c r="AA3" s="2" t="str">
        <f t="shared" si="14"/>
        <v>FCST</v>
      </c>
      <c r="AB3" s="2" t="str">
        <f t="shared" si="14"/>
        <v>FCST</v>
      </c>
      <c r="AC3" s="27" t="str">
        <f t="shared" si="14"/>
        <v>FCST</v>
      </c>
      <c r="AD3" s="2" t="s">
        <v>18</v>
      </c>
      <c r="AE3" s="2" t="str">
        <f>AD3</f>
        <v>FCST</v>
      </c>
      <c r="AF3" s="2" t="str">
        <f t="shared" si="3"/>
        <v>FCST</v>
      </c>
      <c r="AG3" s="2" t="str">
        <f t="shared" si="4"/>
        <v>FCST</v>
      </c>
      <c r="AH3" s="2" t="str">
        <f t="shared" si="5"/>
        <v>FCST</v>
      </c>
      <c r="AI3" s="2" t="str">
        <f t="shared" si="6"/>
        <v>FCST</v>
      </c>
      <c r="AJ3" s="2" t="str">
        <f t="shared" si="7"/>
        <v>FCST</v>
      </c>
      <c r="AK3" s="2" t="str">
        <f t="shared" si="8"/>
        <v>FCST</v>
      </c>
      <c r="AL3" s="2" t="str">
        <f t="shared" ref="AL3" si="15">AK3</f>
        <v>FCST</v>
      </c>
      <c r="AM3" s="2" t="str">
        <f t="shared" si="9"/>
        <v>FCST</v>
      </c>
      <c r="AN3" s="2" t="str">
        <f t="shared" si="10"/>
        <v>FCST</v>
      </c>
      <c r="AO3" s="2" t="str">
        <f t="shared" si="11"/>
        <v>FCST</v>
      </c>
      <c r="AP3" s="27" t="str">
        <f t="shared" si="12"/>
        <v>FCST</v>
      </c>
    </row>
    <row r="4" spans="1:42" x14ac:dyDescent="0.3">
      <c r="A4" s="1">
        <f>ROW()</f>
        <v>4</v>
      </c>
      <c r="C4" s="27"/>
      <c r="D4" s="2">
        <v>1</v>
      </c>
      <c r="E4" s="2">
        <f>D4+1</f>
        <v>2</v>
      </c>
      <c r="F4" s="2">
        <f t="shared" ref="F4:O4" si="16">E4+1</f>
        <v>3</v>
      </c>
      <c r="G4" s="2">
        <f t="shared" si="16"/>
        <v>4</v>
      </c>
      <c r="H4" s="2">
        <f t="shared" si="16"/>
        <v>5</v>
      </c>
      <c r="I4" s="2">
        <f t="shared" si="16"/>
        <v>6</v>
      </c>
      <c r="J4" s="2">
        <f t="shared" si="16"/>
        <v>7</v>
      </c>
      <c r="K4" s="2">
        <f t="shared" si="16"/>
        <v>8</v>
      </c>
      <c r="L4" s="2">
        <f t="shared" si="16"/>
        <v>9</v>
      </c>
      <c r="M4" s="2">
        <f t="shared" si="16"/>
        <v>10</v>
      </c>
      <c r="N4" s="2">
        <f t="shared" si="16"/>
        <v>11</v>
      </c>
      <c r="O4" s="2">
        <f t="shared" si="16"/>
        <v>12</v>
      </c>
      <c r="P4" s="27" t="s">
        <v>17</v>
      </c>
      <c r="Q4" s="2">
        <v>1</v>
      </c>
      <c r="R4" s="2">
        <f>Q4+1</f>
        <v>2</v>
      </c>
      <c r="S4" s="2">
        <f t="shared" ref="S4:AB4" si="17">R4+1</f>
        <v>3</v>
      </c>
      <c r="T4" s="2">
        <f t="shared" si="17"/>
        <v>4</v>
      </c>
      <c r="U4" s="2">
        <f t="shared" si="17"/>
        <v>5</v>
      </c>
      <c r="V4" s="2">
        <f t="shared" si="17"/>
        <v>6</v>
      </c>
      <c r="W4" s="2">
        <f t="shared" si="17"/>
        <v>7</v>
      </c>
      <c r="X4" s="2">
        <f t="shared" si="17"/>
        <v>8</v>
      </c>
      <c r="Y4" s="2">
        <f t="shared" si="17"/>
        <v>9</v>
      </c>
      <c r="Z4" s="2">
        <f t="shared" si="17"/>
        <v>10</v>
      </c>
      <c r="AA4" s="2">
        <f t="shared" si="17"/>
        <v>11</v>
      </c>
      <c r="AB4" s="2">
        <f t="shared" si="17"/>
        <v>12</v>
      </c>
      <c r="AC4" s="27" t="s">
        <v>17</v>
      </c>
      <c r="AD4" s="2">
        <v>1</v>
      </c>
      <c r="AE4" s="2">
        <f>AD4+1</f>
        <v>2</v>
      </c>
      <c r="AF4" s="2">
        <f t="shared" ref="AF4" si="18">AE4+1</f>
        <v>3</v>
      </c>
      <c r="AG4" s="2">
        <f t="shared" ref="AG4" si="19">AF4+1</f>
        <v>4</v>
      </c>
      <c r="AH4" s="2">
        <f t="shared" ref="AH4" si="20">AG4+1</f>
        <v>5</v>
      </c>
      <c r="AI4" s="2">
        <f t="shared" ref="AI4" si="21">AH4+1</f>
        <v>6</v>
      </c>
      <c r="AJ4" s="2">
        <f t="shared" ref="AJ4" si="22">AI4+1</f>
        <v>7</v>
      </c>
      <c r="AK4" s="2">
        <f t="shared" ref="AK4" si="23">AJ4+1</f>
        <v>8</v>
      </c>
      <c r="AL4" s="2">
        <f t="shared" ref="AL4" si="24">AK4+1</f>
        <v>9</v>
      </c>
      <c r="AM4" s="2">
        <f t="shared" ref="AM4" si="25">AL4+1</f>
        <v>10</v>
      </c>
      <c r="AN4" s="2">
        <f t="shared" ref="AN4" si="26">AM4+1</f>
        <v>11</v>
      </c>
      <c r="AO4" s="2">
        <f t="shared" ref="AO4" si="27">AN4+1</f>
        <v>12</v>
      </c>
      <c r="AP4" s="27" t="s">
        <v>17</v>
      </c>
    </row>
    <row r="5" spans="1:42" x14ac:dyDescent="0.3">
      <c r="A5" s="1">
        <f>ROW()</f>
        <v>5</v>
      </c>
      <c r="C5" s="17"/>
      <c r="P5" s="17"/>
      <c r="AC5" s="17"/>
      <c r="AP5" s="17"/>
    </row>
    <row r="6" spans="1:42" x14ac:dyDescent="0.3">
      <c r="A6" s="1">
        <f>ROW()</f>
        <v>6</v>
      </c>
      <c r="B6" s="3" t="s">
        <v>19</v>
      </c>
      <c r="C6" s="17"/>
      <c r="P6" s="17"/>
      <c r="AC6" s="17"/>
      <c r="AP6" s="17"/>
    </row>
    <row r="7" spans="1:42" x14ac:dyDescent="0.3">
      <c r="A7" s="1">
        <f>ROW()</f>
        <v>7</v>
      </c>
      <c r="B7" t="s">
        <v>193</v>
      </c>
      <c r="C7" s="19"/>
      <c r="D7">
        <v>0</v>
      </c>
      <c r="E7">
        <v>0</v>
      </c>
      <c r="F7">
        <v>0</v>
      </c>
      <c r="G7">
        <v>1</v>
      </c>
      <c r="H7">
        <v>1</v>
      </c>
      <c r="I7">
        <v>1</v>
      </c>
      <c r="J7">
        <v>2</v>
      </c>
      <c r="K7">
        <v>2</v>
      </c>
      <c r="L7">
        <v>2</v>
      </c>
      <c r="M7">
        <v>3</v>
      </c>
      <c r="N7">
        <v>3</v>
      </c>
      <c r="O7">
        <v>3</v>
      </c>
      <c r="P7" s="19">
        <f>AVERAGE(D7:O7)</f>
        <v>1.5</v>
      </c>
      <c r="Q7">
        <f>O7+2</f>
        <v>5</v>
      </c>
      <c r="R7">
        <f>Q7</f>
        <v>5</v>
      </c>
      <c r="S7">
        <f>R7+1</f>
        <v>6</v>
      </c>
      <c r="T7">
        <f>S7</f>
        <v>6</v>
      </c>
      <c r="U7">
        <f>T7+1</f>
        <v>7</v>
      </c>
      <c r="V7">
        <f t="shared" ref="V7:X8" si="28">U7</f>
        <v>7</v>
      </c>
      <c r="W7">
        <f t="shared" si="28"/>
        <v>7</v>
      </c>
      <c r="X7">
        <f t="shared" si="28"/>
        <v>7</v>
      </c>
      <c r="Y7">
        <f>X7+1</f>
        <v>8</v>
      </c>
      <c r="Z7">
        <f t="shared" ref="Z7:AB8" si="29">Y7</f>
        <v>8</v>
      </c>
      <c r="AA7">
        <f t="shared" si="29"/>
        <v>8</v>
      </c>
      <c r="AB7">
        <f t="shared" si="29"/>
        <v>8</v>
      </c>
      <c r="AC7" s="19">
        <f>AVERAGE(Q7:AB7)</f>
        <v>6.833333333333333</v>
      </c>
      <c r="AD7">
        <f>AB7+2</f>
        <v>10</v>
      </c>
      <c r="AE7">
        <f>AD7</f>
        <v>10</v>
      </c>
      <c r="AF7">
        <f>AE7+1</f>
        <v>11</v>
      </c>
      <c r="AG7">
        <f>AF7</f>
        <v>11</v>
      </c>
      <c r="AH7">
        <f>AG7+1</f>
        <v>12</v>
      </c>
      <c r="AI7">
        <f t="shared" ref="AI7:AK7" si="30">AH7</f>
        <v>12</v>
      </c>
      <c r="AJ7">
        <f t="shared" si="30"/>
        <v>12</v>
      </c>
      <c r="AK7">
        <f t="shared" si="30"/>
        <v>12</v>
      </c>
      <c r="AL7">
        <f>AK7+1</f>
        <v>13</v>
      </c>
      <c r="AM7">
        <f t="shared" ref="AM7:AO7" si="31">AL7</f>
        <v>13</v>
      </c>
      <c r="AN7">
        <f t="shared" si="31"/>
        <v>13</v>
      </c>
      <c r="AO7">
        <f t="shared" si="31"/>
        <v>13</v>
      </c>
      <c r="AP7" s="19">
        <f>AVERAGE(AD7:AO7)</f>
        <v>11.833333333333334</v>
      </c>
    </row>
    <row r="8" spans="1:42" x14ac:dyDescent="0.3">
      <c r="A8" s="1">
        <f>ROW()</f>
        <v>8</v>
      </c>
      <c r="B8" t="s">
        <v>194</v>
      </c>
      <c r="C8" s="19"/>
      <c r="D8">
        <v>0</v>
      </c>
      <c r="E8">
        <v>0</v>
      </c>
      <c r="F8">
        <v>0</v>
      </c>
      <c r="G8">
        <v>0</v>
      </c>
      <c r="H8">
        <v>0</v>
      </c>
      <c r="I8">
        <v>0</v>
      </c>
      <c r="J8">
        <v>1</v>
      </c>
      <c r="K8">
        <v>1</v>
      </c>
      <c r="L8">
        <v>1</v>
      </c>
      <c r="M8">
        <v>1</v>
      </c>
      <c r="N8">
        <v>1</v>
      </c>
      <c r="O8">
        <v>1</v>
      </c>
      <c r="P8" s="19">
        <f t="shared" ref="P8:P9" si="32">AVERAGE(D8:O8)</f>
        <v>0.5</v>
      </c>
      <c r="Q8">
        <f>O8*1</f>
        <v>1</v>
      </c>
      <c r="R8">
        <f>Q8</f>
        <v>1</v>
      </c>
      <c r="S8">
        <f>R8</f>
        <v>1</v>
      </c>
      <c r="T8">
        <f>S8+1</f>
        <v>2</v>
      </c>
      <c r="U8">
        <f>T8</f>
        <v>2</v>
      </c>
      <c r="V8">
        <f t="shared" si="28"/>
        <v>2</v>
      </c>
      <c r="W8">
        <f t="shared" si="28"/>
        <v>2</v>
      </c>
      <c r="X8">
        <f t="shared" si="28"/>
        <v>2</v>
      </c>
      <c r="Y8">
        <f>X8</f>
        <v>2</v>
      </c>
      <c r="Z8">
        <f t="shared" si="29"/>
        <v>2</v>
      </c>
      <c r="AA8">
        <f t="shared" si="29"/>
        <v>2</v>
      </c>
      <c r="AB8">
        <f t="shared" si="29"/>
        <v>2</v>
      </c>
      <c r="AC8" s="19">
        <f t="shared" ref="AC8:AC9" si="33">AVERAGE(Q8:AB8)</f>
        <v>1.75</v>
      </c>
      <c r="AD8">
        <f>AB8+1</f>
        <v>3</v>
      </c>
      <c r="AE8">
        <f>AD8</f>
        <v>3</v>
      </c>
      <c r="AF8">
        <f>AE8</f>
        <v>3</v>
      </c>
      <c r="AG8">
        <f>AF8+1</f>
        <v>4</v>
      </c>
      <c r="AH8">
        <f>AG8</f>
        <v>4</v>
      </c>
      <c r="AI8">
        <f t="shared" ref="AI8:AK8" si="34">AH8</f>
        <v>4</v>
      </c>
      <c r="AJ8">
        <f t="shared" si="34"/>
        <v>4</v>
      </c>
      <c r="AK8">
        <f t="shared" si="34"/>
        <v>4</v>
      </c>
      <c r="AL8">
        <f>AK8</f>
        <v>4</v>
      </c>
      <c r="AM8">
        <f t="shared" ref="AM8:AO8" si="35">AL8</f>
        <v>4</v>
      </c>
      <c r="AN8">
        <f t="shared" si="35"/>
        <v>4</v>
      </c>
      <c r="AO8">
        <f t="shared" si="35"/>
        <v>4</v>
      </c>
      <c r="AP8" s="19">
        <f t="shared" ref="AP8:AP9" si="36">AVERAGE(AD8:AO8)</f>
        <v>3.75</v>
      </c>
    </row>
    <row r="9" spans="1:42" x14ac:dyDescent="0.3">
      <c r="A9" s="1">
        <f>ROW()</f>
        <v>9</v>
      </c>
      <c r="B9" t="s">
        <v>195</v>
      </c>
      <c r="C9" s="19"/>
      <c r="D9">
        <v>0</v>
      </c>
      <c r="E9">
        <v>0</v>
      </c>
      <c r="F9">
        <v>0</v>
      </c>
      <c r="G9">
        <v>0</v>
      </c>
      <c r="H9">
        <v>0</v>
      </c>
      <c r="I9">
        <v>0</v>
      </c>
      <c r="J9">
        <v>0</v>
      </c>
      <c r="K9">
        <v>0</v>
      </c>
      <c r="L9">
        <v>0</v>
      </c>
      <c r="M9">
        <v>0.5</v>
      </c>
      <c r="N9">
        <v>0.5</v>
      </c>
      <c r="O9">
        <v>0.5</v>
      </c>
      <c r="P9" s="19">
        <f t="shared" si="32"/>
        <v>0.125</v>
      </c>
      <c r="Q9">
        <f>O9*2</f>
        <v>1</v>
      </c>
      <c r="R9">
        <f>Q9</f>
        <v>1</v>
      </c>
      <c r="S9">
        <f>R9</f>
        <v>1</v>
      </c>
      <c r="T9">
        <f>S9</f>
        <v>1</v>
      </c>
      <c r="U9">
        <f>T9</f>
        <v>1</v>
      </c>
      <c r="V9">
        <f>U9+0.5</f>
        <v>1.5</v>
      </c>
      <c r="W9">
        <f>V9</f>
        <v>1.5</v>
      </c>
      <c r="X9">
        <f>W9</f>
        <v>1.5</v>
      </c>
      <c r="Y9">
        <f>X9</f>
        <v>1.5</v>
      </c>
      <c r="Z9">
        <f>Y9+0.5</f>
        <v>2</v>
      </c>
      <c r="AA9">
        <f>Z9</f>
        <v>2</v>
      </c>
      <c r="AB9">
        <f>AA9</f>
        <v>2</v>
      </c>
      <c r="AC9" s="19">
        <f t="shared" si="33"/>
        <v>1.4166666666666667</v>
      </c>
      <c r="AD9">
        <f>AB9+1</f>
        <v>3</v>
      </c>
      <c r="AE9">
        <f>AD9</f>
        <v>3</v>
      </c>
      <c r="AF9">
        <f>AE9</f>
        <v>3</v>
      </c>
      <c r="AG9">
        <f>AF9</f>
        <v>3</v>
      </c>
      <c r="AH9">
        <f>AG9</f>
        <v>3</v>
      </c>
      <c r="AI9">
        <f>AH9+0.5</f>
        <v>3.5</v>
      </c>
      <c r="AJ9">
        <f>AI9</f>
        <v>3.5</v>
      </c>
      <c r="AK9">
        <f>AJ9</f>
        <v>3.5</v>
      </c>
      <c r="AL9">
        <f>AK9</f>
        <v>3.5</v>
      </c>
      <c r="AM9">
        <f>AL9+0.5</f>
        <v>4</v>
      </c>
      <c r="AN9">
        <f>AM9</f>
        <v>4</v>
      </c>
      <c r="AO9">
        <f>AN9</f>
        <v>4</v>
      </c>
      <c r="AP9" s="19">
        <f t="shared" si="36"/>
        <v>3.4166666666666665</v>
      </c>
    </row>
    <row r="10" spans="1:42" x14ac:dyDescent="0.3">
      <c r="A10" s="1">
        <f>ROW()</f>
        <v>10</v>
      </c>
      <c r="C10" s="19"/>
      <c r="P10" s="19"/>
      <c r="AC10" s="19"/>
      <c r="AP10" s="19"/>
    </row>
    <row r="11" spans="1:42" x14ac:dyDescent="0.3">
      <c r="A11" s="1">
        <f>ROW()</f>
        <v>11</v>
      </c>
      <c r="B11" t="s">
        <v>196</v>
      </c>
      <c r="C11" s="19"/>
      <c r="D11" s="6">
        <f>Pakketten!C3</f>
        <v>6750</v>
      </c>
      <c r="E11" s="6">
        <f>D11</f>
        <v>6750</v>
      </c>
      <c r="F11" s="6">
        <f t="shared" ref="F11:O11" si="37">E11</f>
        <v>6750</v>
      </c>
      <c r="G11" s="6">
        <f t="shared" si="37"/>
        <v>6750</v>
      </c>
      <c r="H11" s="6">
        <f t="shared" si="37"/>
        <v>6750</v>
      </c>
      <c r="I11" s="6">
        <f t="shared" si="37"/>
        <v>6750</v>
      </c>
      <c r="J11" s="6">
        <f t="shared" si="37"/>
        <v>6750</v>
      </c>
      <c r="K11" s="6">
        <f t="shared" si="37"/>
        <v>6750</v>
      </c>
      <c r="L11" s="6">
        <f t="shared" si="37"/>
        <v>6750</v>
      </c>
      <c r="M11" s="6">
        <f t="shared" si="37"/>
        <v>6750</v>
      </c>
      <c r="N11" s="6">
        <f t="shared" si="37"/>
        <v>6750</v>
      </c>
      <c r="O11" s="6">
        <f t="shared" si="37"/>
        <v>6750</v>
      </c>
      <c r="P11" s="19">
        <f t="shared" ref="P11:P13" si="38">AVERAGE(D11:O11)</f>
        <v>6750</v>
      </c>
      <c r="Q11" s="6">
        <f>O11*1.05</f>
        <v>7087.5</v>
      </c>
      <c r="R11" s="7">
        <f>Q11</f>
        <v>7087.5</v>
      </c>
      <c r="S11" s="7">
        <f t="shared" ref="S11:AB11" si="39">R11</f>
        <v>7087.5</v>
      </c>
      <c r="T11" s="7">
        <f t="shared" si="39"/>
        <v>7087.5</v>
      </c>
      <c r="U11" s="7">
        <f t="shared" si="39"/>
        <v>7087.5</v>
      </c>
      <c r="V11" s="7">
        <f t="shared" si="39"/>
        <v>7087.5</v>
      </c>
      <c r="W11" s="7">
        <f t="shared" si="39"/>
        <v>7087.5</v>
      </c>
      <c r="X11" s="7">
        <f t="shared" si="39"/>
        <v>7087.5</v>
      </c>
      <c r="Y11" s="7">
        <f t="shared" si="39"/>
        <v>7087.5</v>
      </c>
      <c r="Z11" s="7">
        <f t="shared" si="39"/>
        <v>7087.5</v>
      </c>
      <c r="AA11" s="7">
        <f t="shared" si="39"/>
        <v>7087.5</v>
      </c>
      <c r="AB11" s="7">
        <f t="shared" si="39"/>
        <v>7087.5</v>
      </c>
      <c r="AC11" s="19">
        <f t="shared" ref="AC11:AC13" si="40">AVERAGE(Q11:AB11)</f>
        <v>7087.5</v>
      </c>
      <c r="AD11" s="6">
        <f>AB11*1.05</f>
        <v>7441.875</v>
      </c>
      <c r="AE11" s="7">
        <f>AD11</f>
        <v>7441.875</v>
      </c>
      <c r="AF11" s="7">
        <f t="shared" ref="AF11:AF13" si="41">AE11</f>
        <v>7441.875</v>
      </c>
      <c r="AG11" s="7">
        <f t="shared" ref="AG11:AG13" si="42">AF11</f>
        <v>7441.875</v>
      </c>
      <c r="AH11" s="7">
        <f t="shared" ref="AH11:AH13" si="43">AG11</f>
        <v>7441.875</v>
      </c>
      <c r="AI11" s="7">
        <f t="shared" ref="AI11:AI13" si="44">AH11</f>
        <v>7441.875</v>
      </c>
      <c r="AJ11" s="7">
        <f t="shared" ref="AJ11:AJ13" si="45">AI11</f>
        <v>7441.875</v>
      </c>
      <c r="AK11" s="7">
        <f t="shared" ref="AK11:AK13" si="46">AJ11</f>
        <v>7441.875</v>
      </c>
      <c r="AL11" s="7">
        <f t="shared" ref="AL11:AL13" si="47">AK11</f>
        <v>7441.875</v>
      </c>
      <c r="AM11" s="7">
        <f t="shared" ref="AM11:AM13" si="48">AL11</f>
        <v>7441.875</v>
      </c>
      <c r="AN11" s="7">
        <f t="shared" ref="AN11:AN13" si="49">AM11</f>
        <v>7441.875</v>
      </c>
      <c r="AO11" s="7">
        <f t="shared" ref="AO11:AO13" si="50">AN11</f>
        <v>7441.875</v>
      </c>
      <c r="AP11" s="19">
        <f t="shared" ref="AP11:AP13" si="51">AVERAGE(AD11:AO11)</f>
        <v>7441.875</v>
      </c>
    </row>
    <row r="12" spans="1:42" x14ac:dyDescent="0.3">
      <c r="A12" s="1">
        <f>ROW()</f>
        <v>12</v>
      </c>
      <c r="B12" t="s">
        <v>197</v>
      </c>
      <c r="C12" s="19"/>
      <c r="D12" s="6">
        <f>Pakketten!K3</f>
        <v>17000</v>
      </c>
      <c r="E12" s="6">
        <f>D12</f>
        <v>17000</v>
      </c>
      <c r="F12" s="6">
        <f t="shared" ref="F12:O12" si="52">E12</f>
        <v>17000</v>
      </c>
      <c r="G12" s="6">
        <f t="shared" si="52"/>
        <v>17000</v>
      </c>
      <c r="H12" s="6">
        <f t="shared" si="52"/>
        <v>17000</v>
      </c>
      <c r="I12" s="6">
        <f t="shared" si="52"/>
        <v>17000</v>
      </c>
      <c r="J12" s="6">
        <f t="shared" si="52"/>
        <v>17000</v>
      </c>
      <c r="K12" s="6">
        <f t="shared" si="52"/>
        <v>17000</v>
      </c>
      <c r="L12" s="6">
        <f t="shared" si="52"/>
        <v>17000</v>
      </c>
      <c r="M12" s="6">
        <f t="shared" si="52"/>
        <v>17000</v>
      </c>
      <c r="N12" s="6">
        <f t="shared" si="52"/>
        <v>17000</v>
      </c>
      <c r="O12" s="6">
        <f t="shared" si="52"/>
        <v>17000</v>
      </c>
      <c r="P12" s="19">
        <f t="shared" si="38"/>
        <v>17000</v>
      </c>
      <c r="Q12" s="6">
        <f>O12*1.05</f>
        <v>17850</v>
      </c>
      <c r="R12" s="7">
        <f t="shared" ref="R12:AB13" si="53">Q12</f>
        <v>17850</v>
      </c>
      <c r="S12" s="7">
        <f t="shared" si="53"/>
        <v>17850</v>
      </c>
      <c r="T12" s="7">
        <f t="shared" si="53"/>
        <v>17850</v>
      </c>
      <c r="U12" s="7">
        <f t="shared" si="53"/>
        <v>17850</v>
      </c>
      <c r="V12" s="7">
        <f t="shared" si="53"/>
        <v>17850</v>
      </c>
      <c r="W12" s="7">
        <f t="shared" si="53"/>
        <v>17850</v>
      </c>
      <c r="X12" s="7">
        <f t="shared" si="53"/>
        <v>17850</v>
      </c>
      <c r="Y12" s="7">
        <f t="shared" si="53"/>
        <v>17850</v>
      </c>
      <c r="Z12" s="7">
        <f t="shared" si="53"/>
        <v>17850</v>
      </c>
      <c r="AA12" s="7">
        <f t="shared" si="53"/>
        <v>17850</v>
      </c>
      <c r="AB12" s="7">
        <f t="shared" si="53"/>
        <v>17850</v>
      </c>
      <c r="AC12" s="19">
        <f t="shared" si="40"/>
        <v>17850</v>
      </c>
      <c r="AD12" s="6">
        <f>AB12*1.05</f>
        <v>18742.5</v>
      </c>
      <c r="AE12" s="7">
        <f t="shared" ref="AE12:AE13" si="54">AD12</f>
        <v>18742.5</v>
      </c>
      <c r="AF12" s="7">
        <f t="shared" si="41"/>
        <v>18742.5</v>
      </c>
      <c r="AG12" s="7">
        <f t="shared" si="42"/>
        <v>18742.5</v>
      </c>
      <c r="AH12" s="7">
        <f t="shared" si="43"/>
        <v>18742.5</v>
      </c>
      <c r="AI12" s="7">
        <f t="shared" si="44"/>
        <v>18742.5</v>
      </c>
      <c r="AJ12" s="7">
        <f t="shared" si="45"/>
        <v>18742.5</v>
      </c>
      <c r="AK12" s="7">
        <f t="shared" si="46"/>
        <v>18742.5</v>
      </c>
      <c r="AL12" s="7">
        <f t="shared" si="47"/>
        <v>18742.5</v>
      </c>
      <c r="AM12" s="7">
        <f t="shared" si="48"/>
        <v>18742.5</v>
      </c>
      <c r="AN12" s="7">
        <f t="shared" si="49"/>
        <v>18742.5</v>
      </c>
      <c r="AO12" s="7">
        <f t="shared" si="50"/>
        <v>18742.5</v>
      </c>
      <c r="AP12" s="19">
        <f t="shared" si="51"/>
        <v>18742.5</v>
      </c>
    </row>
    <row r="13" spans="1:42" x14ac:dyDescent="0.3">
      <c r="A13" s="1">
        <f>ROW()</f>
        <v>13</v>
      </c>
      <c r="B13" t="s">
        <v>198</v>
      </c>
      <c r="C13" s="19"/>
      <c r="D13" s="6">
        <f>Pakketten!S3</f>
        <v>27000</v>
      </c>
      <c r="E13" s="6">
        <f>D13</f>
        <v>27000</v>
      </c>
      <c r="F13" s="6">
        <f t="shared" ref="F13:O13" si="55">E13</f>
        <v>27000</v>
      </c>
      <c r="G13" s="6">
        <f t="shared" si="55"/>
        <v>27000</v>
      </c>
      <c r="H13" s="6">
        <f t="shared" si="55"/>
        <v>27000</v>
      </c>
      <c r="I13" s="6">
        <f t="shared" si="55"/>
        <v>27000</v>
      </c>
      <c r="J13" s="6">
        <f t="shared" si="55"/>
        <v>27000</v>
      </c>
      <c r="K13" s="6">
        <f t="shared" si="55"/>
        <v>27000</v>
      </c>
      <c r="L13" s="6">
        <f t="shared" si="55"/>
        <v>27000</v>
      </c>
      <c r="M13" s="6">
        <f t="shared" si="55"/>
        <v>27000</v>
      </c>
      <c r="N13" s="6">
        <f t="shared" si="55"/>
        <v>27000</v>
      </c>
      <c r="O13" s="6">
        <f t="shared" si="55"/>
        <v>27000</v>
      </c>
      <c r="P13" s="19">
        <f t="shared" si="38"/>
        <v>27000</v>
      </c>
      <c r="Q13" s="6">
        <f>O13*1.05</f>
        <v>28350</v>
      </c>
      <c r="R13" s="7">
        <f t="shared" si="53"/>
        <v>28350</v>
      </c>
      <c r="S13" s="7">
        <f t="shared" si="53"/>
        <v>28350</v>
      </c>
      <c r="T13" s="7">
        <f t="shared" si="53"/>
        <v>28350</v>
      </c>
      <c r="U13" s="7">
        <f t="shared" si="53"/>
        <v>28350</v>
      </c>
      <c r="V13" s="7">
        <f t="shared" si="53"/>
        <v>28350</v>
      </c>
      <c r="W13" s="7">
        <f t="shared" si="53"/>
        <v>28350</v>
      </c>
      <c r="X13" s="7">
        <f t="shared" si="53"/>
        <v>28350</v>
      </c>
      <c r="Y13" s="7">
        <f t="shared" si="53"/>
        <v>28350</v>
      </c>
      <c r="Z13" s="7">
        <f t="shared" si="53"/>
        <v>28350</v>
      </c>
      <c r="AA13" s="7">
        <f t="shared" si="53"/>
        <v>28350</v>
      </c>
      <c r="AB13" s="7">
        <f t="shared" si="53"/>
        <v>28350</v>
      </c>
      <c r="AC13" s="19">
        <f t="shared" si="40"/>
        <v>28350</v>
      </c>
      <c r="AD13" s="6">
        <f t="shared" ref="AD13" si="56">AB13*1.05</f>
        <v>29767.5</v>
      </c>
      <c r="AE13" s="7">
        <f t="shared" si="54"/>
        <v>29767.5</v>
      </c>
      <c r="AF13" s="7">
        <f t="shared" si="41"/>
        <v>29767.5</v>
      </c>
      <c r="AG13" s="7">
        <f t="shared" si="42"/>
        <v>29767.5</v>
      </c>
      <c r="AH13" s="7">
        <f t="shared" si="43"/>
        <v>29767.5</v>
      </c>
      <c r="AI13" s="7">
        <f t="shared" si="44"/>
        <v>29767.5</v>
      </c>
      <c r="AJ13" s="7">
        <f t="shared" si="45"/>
        <v>29767.5</v>
      </c>
      <c r="AK13" s="7">
        <f t="shared" si="46"/>
        <v>29767.5</v>
      </c>
      <c r="AL13" s="7">
        <f t="shared" si="47"/>
        <v>29767.5</v>
      </c>
      <c r="AM13" s="7">
        <f t="shared" si="48"/>
        <v>29767.5</v>
      </c>
      <c r="AN13" s="7">
        <f t="shared" si="49"/>
        <v>29767.5</v>
      </c>
      <c r="AO13" s="7">
        <f t="shared" si="50"/>
        <v>29767.5</v>
      </c>
      <c r="AP13" s="19">
        <f t="shared" si="51"/>
        <v>29767.5</v>
      </c>
    </row>
    <row r="14" spans="1:42" x14ac:dyDescent="0.3">
      <c r="A14" s="1">
        <f>ROW()</f>
        <v>14</v>
      </c>
      <c r="C14" s="19"/>
      <c r="P14" s="19"/>
      <c r="AC14" s="19"/>
      <c r="AP14" s="19"/>
    </row>
    <row r="15" spans="1:42" x14ac:dyDescent="0.3">
      <c r="A15" s="1">
        <f>ROW()</f>
        <v>15</v>
      </c>
      <c r="B15" t="s">
        <v>199</v>
      </c>
      <c r="C15" s="19"/>
      <c r="D15" s="7">
        <f>D7*D11</f>
        <v>0</v>
      </c>
      <c r="E15" s="7">
        <f t="shared" ref="E15:N15" si="57">E7*E11</f>
        <v>0</v>
      </c>
      <c r="F15" s="7">
        <f t="shared" si="57"/>
        <v>0</v>
      </c>
      <c r="G15" s="7">
        <f t="shared" si="57"/>
        <v>6750</v>
      </c>
      <c r="H15" s="7">
        <f t="shared" si="57"/>
        <v>6750</v>
      </c>
      <c r="I15" s="7">
        <f t="shared" si="57"/>
        <v>6750</v>
      </c>
      <c r="J15" s="7">
        <f t="shared" si="57"/>
        <v>13500</v>
      </c>
      <c r="K15" s="7">
        <f t="shared" si="57"/>
        <v>13500</v>
      </c>
      <c r="L15" s="7">
        <f t="shared" si="57"/>
        <v>13500</v>
      </c>
      <c r="M15" s="7">
        <f t="shared" si="57"/>
        <v>20250</v>
      </c>
      <c r="N15" s="7">
        <f t="shared" si="57"/>
        <v>20250</v>
      </c>
      <c r="O15" s="7">
        <f>O7*O11</f>
        <v>20250</v>
      </c>
      <c r="P15" s="19">
        <f t="shared" ref="P15:P17" si="58">AVERAGE(D15:O15)</f>
        <v>10125</v>
      </c>
      <c r="Q15" s="7">
        <f t="shared" ref="Q15:AB15" si="59">Q7*Q11</f>
        <v>35437.5</v>
      </c>
      <c r="R15" s="7">
        <f t="shared" si="59"/>
        <v>35437.5</v>
      </c>
      <c r="S15" s="7">
        <f t="shared" si="59"/>
        <v>42525</v>
      </c>
      <c r="T15" s="7">
        <f t="shared" si="59"/>
        <v>42525</v>
      </c>
      <c r="U15" s="7">
        <f t="shared" si="59"/>
        <v>49612.5</v>
      </c>
      <c r="V15" s="7">
        <f t="shared" si="59"/>
        <v>49612.5</v>
      </c>
      <c r="W15" s="7">
        <f t="shared" si="59"/>
        <v>49612.5</v>
      </c>
      <c r="X15" s="7">
        <f t="shared" si="59"/>
        <v>49612.5</v>
      </c>
      <c r="Y15" s="7">
        <f t="shared" si="59"/>
        <v>56700</v>
      </c>
      <c r="Z15" s="7">
        <f t="shared" si="59"/>
        <v>56700</v>
      </c>
      <c r="AA15" s="7">
        <f t="shared" si="59"/>
        <v>56700</v>
      </c>
      <c r="AB15" s="7">
        <f t="shared" si="59"/>
        <v>56700</v>
      </c>
      <c r="AC15" s="19">
        <f t="shared" ref="AC15:AC17" si="60">AVERAGE(Q15:AB15)</f>
        <v>48431.25</v>
      </c>
      <c r="AD15" s="7">
        <f t="shared" ref="AD15:AO15" si="61">AD7*AD11</f>
        <v>74418.75</v>
      </c>
      <c r="AE15" s="7">
        <f t="shared" si="61"/>
        <v>74418.75</v>
      </c>
      <c r="AF15" s="7">
        <f t="shared" si="61"/>
        <v>81860.625</v>
      </c>
      <c r="AG15" s="7">
        <f t="shared" si="61"/>
        <v>81860.625</v>
      </c>
      <c r="AH15" s="7">
        <f t="shared" si="61"/>
        <v>89302.5</v>
      </c>
      <c r="AI15" s="7">
        <f t="shared" si="61"/>
        <v>89302.5</v>
      </c>
      <c r="AJ15" s="7">
        <f t="shared" si="61"/>
        <v>89302.5</v>
      </c>
      <c r="AK15" s="7">
        <f t="shared" si="61"/>
        <v>89302.5</v>
      </c>
      <c r="AL15" s="7">
        <f t="shared" si="61"/>
        <v>96744.375</v>
      </c>
      <c r="AM15" s="7">
        <f t="shared" si="61"/>
        <v>96744.375</v>
      </c>
      <c r="AN15" s="7">
        <f t="shared" si="61"/>
        <v>96744.375</v>
      </c>
      <c r="AO15" s="7">
        <f t="shared" si="61"/>
        <v>96744.375</v>
      </c>
      <c r="AP15" s="19">
        <f t="shared" ref="AP15:AP17" si="62">AVERAGE(AD15:AO15)</f>
        <v>88062.1875</v>
      </c>
    </row>
    <row r="16" spans="1:42" x14ac:dyDescent="0.3">
      <c r="A16" s="1">
        <f>ROW()</f>
        <v>16</v>
      </c>
      <c r="B16" t="s">
        <v>200</v>
      </c>
      <c r="C16" s="19"/>
      <c r="D16" s="7">
        <f t="shared" ref="D16:O17" si="63">D8*D12</f>
        <v>0</v>
      </c>
      <c r="E16" s="7">
        <f t="shared" si="63"/>
        <v>0</v>
      </c>
      <c r="F16" s="7">
        <f t="shared" si="63"/>
        <v>0</v>
      </c>
      <c r="G16" s="7">
        <f t="shared" si="63"/>
        <v>0</v>
      </c>
      <c r="H16" s="7">
        <f t="shared" si="63"/>
        <v>0</v>
      </c>
      <c r="I16" s="7">
        <f t="shared" si="63"/>
        <v>0</v>
      </c>
      <c r="J16" s="7">
        <f t="shared" si="63"/>
        <v>17000</v>
      </c>
      <c r="K16" s="7">
        <f t="shared" si="63"/>
        <v>17000</v>
      </c>
      <c r="L16" s="7">
        <f t="shared" si="63"/>
        <v>17000</v>
      </c>
      <c r="M16" s="7">
        <f t="shared" si="63"/>
        <v>17000</v>
      </c>
      <c r="N16" s="7">
        <f t="shared" si="63"/>
        <v>17000</v>
      </c>
      <c r="O16" s="7">
        <f t="shared" si="63"/>
        <v>17000</v>
      </c>
      <c r="P16" s="19">
        <f t="shared" si="58"/>
        <v>8500</v>
      </c>
      <c r="Q16" s="7">
        <f t="shared" ref="Q16:AB16" si="64">Q8*Q12</f>
        <v>17850</v>
      </c>
      <c r="R16" s="7">
        <f t="shared" si="64"/>
        <v>17850</v>
      </c>
      <c r="S16" s="7">
        <f t="shared" si="64"/>
        <v>17850</v>
      </c>
      <c r="T16" s="7">
        <f t="shared" si="64"/>
        <v>35700</v>
      </c>
      <c r="U16" s="7">
        <f t="shared" si="64"/>
        <v>35700</v>
      </c>
      <c r="V16" s="7">
        <f t="shared" si="64"/>
        <v>35700</v>
      </c>
      <c r="W16" s="7">
        <f t="shared" si="64"/>
        <v>35700</v>
      </c>
      <c r="X16" s="7">
        <f t="shared" si="64"/>
        <v>35700</v>
      </c>
      <c r="Y16" s="7">
        <f t="shared" si="64"/>
        <v>35700</v>
      </c>
      <c r="Z16" s="7">
        <f t="shared" si="64"/>
        <v>35700</v>
      </c>
      <c r="AA16" s="7">
        <f t="shared" si="64"/>
        <v>35700</v>
      </c>
      <c r="AB16" s="7">
        <f t="shared" si="64"/>
        <v>35700</v>
      </c>
      <c r="AC16" s="19">
        <f t="shared" si="60"/>
        <v>31237.5</v>
      </c>
      <c r="AD16" s="7">
        <f t="shared" ref="AD16:AO16" si="65">AD8*AD12</f>
        <v>56227.5</v>
      </c>
      <c r="AE16" s="7">
        <f t="shared" si="65"/>
        <v>56227.5</v>
      </c>
      <c r="AF16" s="7">
        <f t="shared" si="65"/>
        <v>56227.5</v>
      </c>
      <c r="AG16" s="7">
        <f t="shared" si="65"/>
        <v>74970</v>
      </c>
      <c r="AH16" s="7">
        <f t="shared" si="65"/>
        <v>74970</v>
      </c>
      <c r="AI16" s="7">
        <f t="shared" si="65"/>
        <v>74970</v>
      </c>
      <c r="AJ16" s="7">
        <f t="shared" si="65"/>
        <v>74970</v>
      </c>
      <c r="AK16" s="7">
        <f t="shared" si="65"/>
        <v>74970</v>
      </c>
      <c r="AL16" s="7">
        <f t="shared" si="65"/>
        <v>74970</v>
      </c>
      <c r="AM16" s="7">
        <f t="shared" si="65"/>
        <v>74970</v>
      </c>
      <c r="AN16" s="7">
        <f t="shared" si="65"/>
        <v>74970</v>
      </c>
      <c r="AO16" s="7">
        <f t="shared" si="65"/>
        <v>74970</v>
      </c>
      <c r="AP16" s="19">
        <f t="shared" si="62"/>
        <v>70284.375</v>
      </c>
    </row>
    <row r="17" spans="1:42" x14ac:dyDescent="0.3">
      <c r="A17" s="1">
        <f>ROW()</f>
        <v>17</v>
      </c>
      <c r="B17" t="s">
        <v>201</v>
      </c>
      <c r="C17" s="19"/>
      <c r="D17" s="7">
        <f t="shared" si="63"/>
        <v>0</v>
      </c>
      <c r="E17" s="7">
        <f t="shared" si="63"/>
        <v>0</v>
      </c>
      <c r="F17" s="7">
        <f t="shared" si="63"/>
        <v>0</v>
      </c>
      <c r="G17" s="7">
        <f t="shared" si="63"/>
        <v>0</v>
      </c>
      <c r="H17" s="7">
        <f t="shared" si="63"/>
        <v>0</v>
      </c>
      <c r="I17" s="7">
        <f t="shared" si="63"/>
        <v>0</v>
      </c>
      <c r="J17" s="7">
        <f t="shared" si="63"/>
        <v>0</v>
      </c>
      <c r="K17" s="7">
        <f t="shared" si="63"/>
        <v>0</v>
      </c>
      <c r="L17" s="7">
        <f t="shared" si="63"/>
        <v>0</v>
      </c>
      <c r="M17" s="7">
        <f t="shared" si="63"/>
        <v>13500</v>
      </c>
      <c r="N17" s="7">
        <f t="shared" si="63"/>
        <v>13500</v>
      </c>
      <c r="O17" s="7">
        <f t="shared" si="63"/>
        <v>13500</v>
      </c>
      <c r="P17" s="19">
        <f t="shared" si="58"/>
        <v>3375</v>
      </c>
      <c r="Q17" s="7">
        <f t="shared" ref="Q17:AB17" si="66">Q9*Q13</f>
        <v>28350</v>
      </c>
      <c r="R17" s="7">
        <f t="shared" si="66"/>
        <v>28350</v>
      </c>
      <c r="S17" s="7">
        <f t="shared" si="66"/>
        <v>28350</v>
      </c>
      <c r="T17" s="7">
        <f t="shared" si="66"/>
        <v>28350</v>
      </c>
      <c r="U17" s="7">
        <f t="shared" si="66"/>
        <v>28350</v>
      </c>
      <c r="V17" s="7">
        <f t="shared" si="66"/>
        <v>42525</v>
      </c>
      <c r="W17" s="7">
        <f t="shared" si="66"/>
        <v>42525</v>
      </c>
      <c r="X17" s="7">
        <f t="shared" si="66"/>
        <v>42525</v>
      </c>
      <c r="Y17" s="7">
        <f t="shared" si="66"/>
        <v>42525</v>
      </c>
      <c r="Z17" s="7">
        <f t="shared" si="66"/>
        <v>56700</v>
      </c>
      <c r="AA17" s="7">
        <f t="shared" si="66"/>
        <v>56700</v>
      </c>
      <c r="AB17" s="7">
        <f t="shared" si="66"/>
        <v>56700</v>
      </c>
      <c r="AC17" s="19">
        <f t="shared" si="60"/>
        <v>40162.5</v>
      </c>
      <c r="AD17" s="7">
        <f t="shared" ref="AD17:AO17" si="67">AD9*AD13</f>
        <v>89302.5</v>
      </c>
      <c r="AE17" s="7">
        <f t="shared" si="67"/>
        <v>89302.5</v>
      </c>
      <c r="AF17" s="7">
        <f t="shared" si="67"/>
        <v>89302.5</v>
      </c>
      <c r="AG17" s="7">
        <f t="shared" si="67"/>
        <v>89302.5</v>
      </c>
      <c r="AH17" s="7">
        <f t="shared" si="67"/>
        <v>89302.5</v>
      </c>
      <c r="AI17" s="7">
        <f t="shared" si="67"/>
        <v>104186.25</v>
      </c>
      <c r="AJ17" s="7">
        <f t="shared" si="67"/>
        <v>104186.25</v>
      </c>
      <c r="AK17" s="7">
        <f t="shared" si="67"/>
        <v>104186.25</v>
      </c>
      <c r="AL17" s="7">
        <f t="shared" si="67"/>
        <v>104186.25</v>
      </c>
      <c r="AM17" s="7">
        <f t="shared" si="67"/>
        <v>119070</v>
      </c>
      <c r="AN17" s="7">
        <f t="shared" si="67"/>
        <v>119070</v>
      </c>
      <c r="AO17" s="7">
        <f t="shared" si="67"/>
        <v>119070</v>
      </c>
      <c r="AP17" s="19">
        <f t="shared" si="62"/>
        <v>101705.625</v>
      </c>
    </row>
    <row r="18" spans="1:42" x14ac:dyDescent="0.3">
      <c r="A18" s="1">
        <f>ROW()</f>
        <v>18</v>
      </c>
      <c r="C18" s="17"/>
      <c r="P18" s="17"/>
      <c r="AC18" s="17"/>
      <c r="AP18" s="17"/>
    </row>
    <row r="19" spans="1:42" outlineLevel="1" x14ac:dyDescent="0.3">
      <c r="A19" s="1">
        <f>ROW()</f>
        <v>19</v>
      </c>
      <c r="B19" s="2" t="s">
        <v>20</v>
      </c>
      <c r="C19" s="17"/>
      <c r="P19" s="17"/>
      <c r="AC19" s="17"/>
      <c r="AP19" s="17"/>
    </row>
    <row r="20" spans="1:42" outlineLevel="1" x14ac:dyDescent="0.3">
      <c r="A20" s="1">
        <f>ROW()</f>
        <v>20</v>
      </c>
      <c r="B20" s="4" t="s">
        <v>24</v>
      </c>
      <c r="C20" s="17"/>
      <c r="D20" s="5">
        <f>OPEX!D17</f>
        <v>0.2</v>
      </c>
      <c r="E20" s="5">
        <f>OPEX!E17</f>
        <v>0.2</v>
      </c>
      <c r="F20" s="5">
        <f>OPEX!F17</f>
        <v>0.2</v>
      </c>
      <c r="G20" s="5">
        <f>OPEX!G17</f>
        <v>0.2</v>
      </c>
      <c r="H20" s="5">
        <f>OPEX!H17</f>
        <v>0.2</v>
      </c>
      <c r="I20" s="5">
        <f>OPEX!I17</f>
        <v>0.2</v>
      </c>
      <c r="J20" s="5">
        <f>OPEX!J17</f>
        <v>0.2</v>
      </c>
      <c r="K20" s="5">
        <f>OPEX!K17</f>
        <v>0.2</v>
      </c>
      <c r="L20" s="5">
        <f>OPEX!L17</f>
        <v>0.2</v>
      </c>
      <c r="M20" s="5">
        <v>0.6</v>
      </c>
      <c r="N20" s="5">
        <v>0.6</v>
      </c>
      <c r="O20" s="5">
        <v>0.6</v>
      </c>
      <c r="P20" s="29">
        <f>AVERAGE(D20:O20)</f>
        <v>0.3</v>
      </c>
      <c r="Q20" s="15">
        <v>0.5</v>
      </c>
      <c r="R20" s="15">
        <f>Q20</f>
        <v>0.5</v>
      </c>
      <c r="S20" s="15">
        <f t="shared" ref="S20:AB20" si="68">R20</f>
        <v>0.5</v>
      </c>
      <c r="T20" s="15">
        <v>0.6</v>
      </c>
      <c r="U20" s="15">
        <f>T20</f>
        <v>0.6</v>
      </c>
      <c r="V20" s="15">
        <f t="shared" si="68"/>
        <v>0.6</v>
      </c>
      <c r="W20" s="15">
        <f t="shared" si="68"/>
        <v>0.6</v>
      </c>
      <c r="X20" s="15">
        <f>W20</f>
        <v>0.6</v>
      </c>
      <c r="Y20" s="15">
        <v>0.8</v>
      </c>
      <c r="Z20" s="15">
        <f t="shared" si="68"/>
        <v>0.8</v>
      </c>
      <c r="AA20" s="15">
        <f t="shared" si="68"/>
        <v>0.8</v>
      </c>
      <c r="AB20" s="15">
        <f t="shared" si="68"/>
        <v>0.8</v>
      </c>
      <c r="AC20" s="29">
        <f>AVERAGE(Q20:AB20)</f>
        <v>0.64166666666666661</v>
      </c>
      <c r="AD20" s="15">
        <v>1.4</v>
      </c>
      <c r="AE20" s="15">
        <f>AD20</f>
        <v>1.4</v>
      </c>
      <c r="AF20" s="15">
        <f t="shared" ref="AF20:AF28" si="69">AE20</f>
        <v>1.4</v>
      </c>
      <c r="AG20" s="15">
        <f t="shared" ref="AG20" si="70">AF20</f>
        <v>1.4</v>
      </c>
      <c r="AH20" s="15">
        <f t="shared" ref="AH20" si="71">AG20</f>
        <v>1.4</v>
      </c>
      <c r="AI20" s="15">
        <f t="shared" ref="AI20:AI28" si="72">AH20</f>
        <v>1.4</v>
      </c>
      <c r="AJ20" s="15">
        <f t="shared" ref="AJ20:AJ28" si="73">AI20</f>
        <v>1.4</v>
      </c>
      <c r="AK20" s="15">
        <f t="shared" ref="AK20:AK28" si="74">AJ20</f>
        <v>1.4</v>
      </c>
      <c r="AL20" s="15">
        <f t="shared" ref="AL20:AL28" si="75">AK20</f>
        <v>1.4</v>
      </c>
      <c r="AM20" s="15">
        <v>1.6</v>
      </c>
      <c r="AN20" s="15">
        <f t="shared" ref="AN20:AN28" si="76">AM20</f>
        <v>1.6</v>
      </c>
      <c r="AO20" s="15">
        <f t="shared" ref="AO20:AO28" si="77">AN20</f>
        <v>1.6</v>
      </c>
      <c r="AP20" s="29">
        <f>AVERAGE(AD20:AO20)</f>
        <v>1.4500000000000002</v>
      </c>
    </row>
    <row r="21" spans="1:42" outlineLevel="1" x14ac:dyDescent="0.3">
      <c r="A21" s="1">
        <f>ROW()</f>
        <v>21</v>
      </c>
      <c r="B21" s="4" t="s">
        <v>25</v>
      </c>
      <c r="C21" s="17"/>
      <c r="D21" s="5">
        <f>OPEX!D18</f>
        <v>0.6</v>
      </c>
      <c r="E21" s="5">
        <f>OPEX!E18</f>
        <v>0.6</v>
      </c>
      <c r="F21" s="5">
        <f>OPEX!F18</f>
        <v>0.6</v>
      </c>
      <c r="G21" s="5">
        <f>OPEX!G18</f>
        <v>0.6</v>
      </c>
      <c r="H21" s="5">
        <f>OPEX!H18</f>
        <v>0.6</v>
      </c>
      <c r="I21" s="5">
        <f>OPEX!I18</f>
        <v>0.6</v>
      </c>
      <c r="J21" s="5">
        <f>OPEX!J18</f>
        <v>0.6</v>
      </c>
      <c r="K21" s="5">
        <f>OPEX!K18</f>
        <v>0.6</v>
      </c>
      <c r="L21" s="5">
        <f>OPEX!L18</f>
        <v>0.6</v>
      </c>
      <c r="M21" s="5">
        <f>OPEX!M18</f>
        <v>0.6</v>
      </c>
      <c r="N21" s="5">
        <f>OPEX!N18</f>
        <v>0.6</v>
      </c>
      <c r="O21" s="5">
        <f>OPEX!O18</f>
        <v>0.6</v>
      </c>
      <c r="P21" s="29">
        <f t="shared" ref="P21:P28" si="78">AVERAGE(D21:O21)</f>
        <v>0.59999999999999987</v>
      </c>
      <c r="Q21" s="15">
        <v>0.8</v>
      </c>
      <c r="R21" s="15">
        <f t="shared" ref="R21:AB28" si="79">Q21</f>
        <v>0.8</v>
      </c>
      <c r="S21" s="15">
        <f t="shared" si="79"/>
        <v>0.8</v>
      </c>
      <c r="T21" s="15">
        <v>1</v>
      </c>
      <c r="U21" s="15">
        <v>1.4</v>
      </c>
      <c r="V21" s="15">
        <f t="shared" si="79"/>
        <v>1.4</v>
      </c>
      <c r="W21" s="15">
        <f t="shared" si="79"/>
        <v>1.4</v>
      </c>
      <c r="X21" s="15">
        <f>W21</f>
        <v>1.4</v>
      </c>
      <c r="Y21" s="15">
        <f t="shared" si="79"/>
        <v>1.4</v>
      </c>
      <c r="Z21" s="15">
        <f t="shared" si="79"/>
        <v>1.4</v>
      </c>
      <c r="AA21" s="15">
        <f t="shared" si="79"/>
        <v>1.4</v>
      </c>
      <c r="AB21" s="15">
        <f t="shared" si="79"/>
        <v>1.4</v>
      </c>
      <c r="AC21" s="29">
        <f t="shared" ref="AC21:AC28" si="80">AVERAGE(Q21:AB21)</f>
        <v>1.216666666666667</v>
      </c>
      <c r="AD21" s="15">
        <v>2</v>
      </c>
      <c r="AE21" s="15">
        <f t="shared" ref="AE21:AE23" si="81">AD21</f>
        <v>2</v>
      </c>
      <c r="AF21" s="15">
        <f t="shared" si="69"/>
        <v>2</v>
      </c>
      <c r="AG21" s="15">
        <v>2.2000000000000002</v>
      </c>
      <c r="AH21" s="15">
        <f t="shared" ref="AH21:AH28" si="82">AG21</f>
        <v>2.2000000000000002</v>
      </c>
      <c r="AI21" s="15">
        <f t="shared" si="72"/>
        <v>2.2000000000000002</v>
      </c>
      <c r="AJ21" s="15">
        <f t="shared" si="73"/>
        <v>2.2000000000000002</v>
      </c>
      <c r="AK21" s="15">
        <f t="shared" si="74"/>
        <v>2.2000000000000002</v>
      </c>
      <c r="AL21" s="15">
        <f>AK21</f>
        <v>2.2000000000000002</v>
      </c>
      <c r="AM21" s="15">
        <v>2.6</v>
      </c>
      <c r="AN21" s="15">
        <f t="shared" si="76"/>
        <v>2.6</v>
      </c>
      <c r="AO21" s="15">
        <f t="shared" si="77"/>
        <v>2.6</v>
      </c>
      <c r="AP21" s="29">
        <f t="shared" ref="AP21:AP28" si="83">AVERAGE(AD21:AO21)</f>
        <v>2.25</v>
      </c>
    </row>
    <row r="22" spans="1:42" outlineLevel="1" x14ac:dyDescent="0.3">
      <c r="A22" s="1">
        <f>ROW()</f>
        <v>22</v>
      </c>
      <c r="B22" s="4" t="s">
        <v>26</v>
      </c>
      <c r="C22" s="17"/>
      <c r="D22" s="5">
        <f>OPEX!D19</f>
        <v>0</v>
      </c>
      <c r="E22" s="5">
        <f>OPEX!E19</f>
        <v>0</v>
      </c>
      <c r="F22" s="5">
        <f>OPEX!F19</f>
        <v>0</v>
      </c>
      <c r="G22" s="5">
        <f>OPEX!G19</f>
        <v>0</v>
      </c>
      <c r="H22" s="5">
        <f>OPEX!H19</f>
        <v>0</v>
      </c>
      <c r="I22" s="5">
        <f>OPEX!I19</f>
        <v>0</v>
      </c>
      <c r="J22" s="5">
        <f>OPEX!J19</f>
        <v>0.4</v>
      </c>
      <c r="K22" s="5">
        <f>OPEX!K19</f>
        <v>0.4</v>
      </c>
      <c r="L22" s="5">
        <f>OPEX!L19</f>
        <v>0.4</v>
      </c>
      <c r="M22" s="5">
        <v>0.6</v>
      </c>
      <c r="N22" s="5">
        <v>0.6</v>
      </c>
      <c r="O22" s="5">
        <v>0.6</v>
      </c>
      <c r="P22" s="29">
        <f t="shared" si="78"/>
        <v>0.25000000000000006</v>
      </c>
      <c r="Q22" s="15">
        <v>0.8</v>
      </c>
      <c r="R22" s="15">
        <f t="shared" si="79"/>
        <v>0.8</v>
      </c>
      <c r="S22" s="15">
        <f t="shared" si="79"/>
        <v>0.8</v>
      </c>
      <c r="T22" s="15">
        <v>1</v>
      </c>
      <c r="U22" s="15">
        <v>1.2</v>
      </c>
      <c r="V22" s="15">
        <f t="shared" si="79"/>
        <v>1.2</v>
      </c>
      <c r="W22" s="15">
        <f t="shared" si="79"/>
        <v>1.2</v>
      </c>
      <c r="X22" s="15">
        <f t="shared" si="79"/>
        <v>1.2</v>
      </c>
      <c r="Y22" s="15">
        <f t="shared" si="79"/>
        <v>1.2</v>
      </c>
      <c r="Z22" s="15">
        <v>1.4</v>
      </c>
      <c r="AA22" s="15">
        <f t="shared" si="79"/>
        <v>1.4</v>
      </c>
      <c r="AB22" s="15">
        <f t="shared" si="79"/>
        <v>1.4</v>
      </c>
      <c r="AC22" s="29">
        <f t="shared" si="80"/>
        <v>1.1333333333333335</v>
      </c>
      <c r="AD22" s="15">
        <v>2</v>
      </c>
      <c r="AE22" s="15">
        <f t="shared" si="81"/>
        <v>2</v>
      </c>
      <c r="AF22" s="15">
        <f t="shared" si="69"/>
        <v>2</v>
      </c>
      <c r="AG22" s="15">
        <v>2.2000000000000002</v>
      </c>
      <c r="AH22" s="15">
        <f t="shared" si="82"/>
        <v>2.2000000000000002</v>
      </c>
      <c r="AI22" s="15">
        <f t="shared" si="72"/>
        <v>2.2000000000000002</v>
      </c>
      <c r="AJ22" s="15">
        <f t="shared" si="73"/>
        <v>2.2000000000000002</v>
      </c>
      <c r="AK22" s="15">
        <f t="shared" si="74"/>
        <v>2.2000000000000002</v>
      </c>
      <c r="AL22" s="15">
        <f t="shared" si="75"/>
        <v>2.2000000000000002</v>
      </c>
      <c r="AM22" s="15">
        <v>2.6</v>
      </c>
      <c r="AN22" s="15">
        <f t="shared" si="76"/>
        <v>2.6</v>
      </c>
      <c r="AO22" s="15">
        <f t="shared" si="77"/>
        <v>2.6</v>
      </c>
      <c r="AP22" s="29">
        <f t="shared" si="83"/>
        <v>2.25</v>
      </c>
    </row>
    <row r="23" spans="1:42" outlineLevel="1" x14ac:dyDescent="0.3">
      <c r="A23" s="1">
        <f>ROW()</f>
        <v>23</v>
      </c>
      <c r="B23" s="4" t="s">
        <v>27</v>
      </c>
      <c r="C23" s="17"/>
      <c r="D23" s="5">
        <f>OPEX!D20</f>
        <v>0</v>
      </c>
      <c r="E23" s="5">
        <f>OPEX!E20</f>
        <v>0</v>
      </c>
      <c r="F23" s="5">
        <f>OPEX!F20</f>
        <v>0</v>
      </c>
      <c r="G23" s="5">
        <f>OPEX!G20</f>
        <v>0</v>
      </c>
      <c r="H23" s="5">
        <f>OPEX!H20</f>
        <v>0</v>
      </c>
      <c r="I23" s="5">
        <f>OPEX!I20</f>
        <v>0</v>
      </c>
      <c r="J23" s="5">
        <f>OPEX!J20</f>
        <v>0.4</v>
      </c>
      <c r="K23" s="5">
        <f>OPEX!K20</f>
        <v>0.4</v>
      </c>
      <c r="L23" s="5">
        <f>OPEX!L20</f>
        <v>0.4</v>
      </c>
      <c r="M23" s="5">
        <v>0.6</v>
      </c>
      <c r="N23" s="5">
        <v>0.6</v>
      </c>
      <c r="O23" s="5">
        <v>0.6</v>
      </c>
      <c r="P23" s="29">
        <f t="shared" si="78"/>
        <v>0.25000000000000006</v>
      </c>
      <c r="Q23" s="15">
        <v>0.8</v>
      </c>
      <c r="R23" s="15">
        <f t="shared" si="79"/>
        <v>0.8</v>
      </c>
      <c r="S23" s="15">
        <f t="shared" si="79"/>
        <v>0.8</v>
      </c>
      <c r="T23" s="15">
        <v>1</v>
      </c>
      <c r="U23" s="15">
        <v>1.2</v>
      </c>
      <c r="V23" s="15">
        <f t="shared" si="79"/>
        <v>1.2</v>
      </c>
      <c r="W23" s="15">
        <f t="shared" si="79"/>
        <v>1.2</v>
      </c>
      <c r="X23" s="15">
        <f t="shared" si="79"/>
        <v>1.2</v>
      </c>
      <c r="Y23" s="15">
        <f t="shared" si="79"/>
        <v>1.2</v>
      </c>
      <c r="Z23" s="15">
        <v>1.4</v>
      </c>
      <c r="AA23" s="15">
        <f t="shared" si="79"/>
        <v>1.4</v>
      </c>
      <c r="AB23" s="15">
        <f t="shared" si="79"/>
        <v>1.4</v>
      </c>
      <c r="AC23" s="29">
        <f t="shared" si="80"/>
        <v>1.1333333333333335</v>
      </c>
      <c r="AD23" s="15">
        <v>2</v>
      </c>
      <c r="AE23" s="15">
        <f t="shared" si="81"/>
        <v>2</v>
      </c>
      <c r="AF23" s="15">
        <f t="shared" si="69"/>
        <v>2</v>
      </c>
      <c r="AG23" s="15">
        <v>2.4</v>
      </c>
      <c r="AH23" s="15">
        <f t="shared" si="82"/>
        <v>2.4</v>
      </c>
      <c r="AI23" s="15">
        <f t="shared" si="72"/>
        <v>2.4</v>
      </c>
      <c r="AJ23" s="15">
        <f t="shared" si="73"/>
        <v>2.4</v>
      </c>
      <c r="AK23" s="15">
        <f t="shared" si="74"/>
        <v>2.4</v>
      </c>
      <c r="AL23" s="15">
        <f t="shared" si="75"/>
        <v>2.4</v>
      </c>
      <c r="AM23" s="15">
        <v>2.6</v>
      </c>
      <c r="AN23" s="15">
        <f t="shared" si="76"/>
        <v>2.6</v>
      </c>
      <c r="AO23" s="15">
        <f t="shared" si="77"/>
        <v>2.6</v>
      </c>
      <c r="AP23" s="29">
        <f t="shared" si="83"/>
        <v>2.35</v>
      </c>
    </row>
    <row r="24" spans="1:42" outlineLevel="1" x14ac:dyDescent="0.3">
      <c r="A24" s="1">
        <f>ROW()</f>
        <v>24</v>
      </c>
      <c r="B24" s="4" t="s">
        <v>28</v>
      </c>
      <c r="C24" s="17"/>
      <c r="D24" s="5">
        <f>OPEX!D21</f>
        <v>0</v>
      </c>
      <c r="E24" s="5">
        <f>OPEX!E21</f>
        <v>0</v>
      </c>
      <c r="F24" s="5">
        <f>OPEX!F21</f>
        <v>0</v>
      </c>
      <c r="G24" s="5">
        <f>OPEX!G21</f>
        <v>0</v>
      </c>
      <c r="H24" s="5">
        <f>OPEX!H21</f>
        <v>0</v>
      </c>
      <c r="I24" s="5">
        <f>OPEX!I21</f>
        <v>0</v>
      </c>
      <c r="J24" s="5">
        <f>OPEX!J21</f>
        <v>0.4</v>
      </c>
      <c r="K24" s="5">
        <f>OPEX!K21</f>
        <v>0.4</v>
      </c>
      <c r="L24" s="5">
        <f>OPEX!L21</f>
        <v>0.4</v>
      </c>
      <c r="M24" s="5">
        <v>0.6</v>
      </c>
      <c r="N24" s="5">
        <v>0.6</v>
      </c>
      <c r="O24" s="5">
        <v>0.6</v>
      </c>
      <c r="P24" s="29">
        <f t="shared" si="78"/>
        <v>0.25000000000000006</v>
      </c>
      <c r="Q24" s="15">
        <v>0.8</v>
      </c>
      <c r="R24" s="15">
        <v>0.8</v>
      </c>
      <c r="S24" s="15">
        <f t="shared" si="79"/>
        <v>0.8</v>
      </c>
      <c r="T24" s="15">
        <v>1.4</v>
      </c>
      <c r="U24" s="15">
        <f t="shared" si="79"/>
        <v>1.4</v>
      </c>
      <c r="V24" s="15">
        <f t="shared" si="79"/>
        <v>1.4</v>
      </c>
      <c r="W24" s="15">
        <f t="shared" si="79"/>
        <v>1.4</v>
      </c>
      <c r="X24" s="15">
        <f t="shared" si="79"/>
        <v>1.4</v>
      </c>
      <c r="Y24" s="15">
        <f t="shared" si="79"/>
        <v>1.4</v>
      </c>
      <c r="Z24" s="15">
        <f t="shared" si="79"/>
        <v>1.4</v>
      </c>
      <c r="AA24" s="15">
        <f t="shared" si="79"/>
        <v>1.4</v>
      </c>
      <c r="AB24" s="15">
        <f t="shared" si="79"/>
        <v>1.4</v>
      </c>
      <c r="AC24" s="29">
        <f t="shared" si="80"/>
        <v>1.2500000000000002</v>
      </c>
      <c r="AD24" s="15">
        <v>2</v>
      </c>
      <c r="AE24" s="15">
        <f>AD24</f>
        <v>2</v>
      </c>
      <c r="AF24" s="15">
        <f t="shared" si="69"/>
        <v>2</v>
      </c>
      <c r="AG24" s="15">
        <v>2.4</v>
      </c>
      <c r="AH24" s="15">
        <f t="shared" si="82"/>
        <v>2.4</v>
      </c>
      <c r="AI24" s="15">
        <f t="shared" si="72"/>
        <v>2.4</v>
      </c>
      <c r="AJ24" s="15">
        <f t="shared" si="73"/>
        <v>2.4</v>
      </c>
      <c r="AK24" s="15">
        <f t="shared" si="74"/>
        <v>2.4</v>
      </c>
      <c r="AL24" s="15">
        <f t="shared" si="75"/>
        <v>2.4</v>
      </c>
      <c r="AM24" s="15">
        <v>2.6</v>
      </c>
      <c r="AN24" s="15">
        <f t="shared" si="76"/>
        <v>2.6</v>
      </c>
      <c r="AO24" s="15">
        <f t="shared" si="77"/>
        <v>2.6</v>
      </c>
      <c r="AP24" s="29">
        <f t="shared" si="83"/>
        <v>2.35</v>
      </c>
    </row>
    <row r="25" spans="1:42" outlineLevel="1" x14ac:dyDescent="0.3">
      <c r="A25" s="1">
        <f>ROW()</f>
        <v>25</v>
      </c>
      <c r="B25" s="4" t="s">
        <v>212</v>
      </c>
      <c r="C25" s="17"/>
      <c r="D25" s="5">
        <f>OPEX!D22</f>
        <v>0.4</v>
      </c>
      <c r="E25" s="5">
        <f>OPEX!E22</f>
        <v>0.4</v>
      </c>
      <c r="F25" s="5">
        <f>OPEX!F22</f>
        <v>0.4</v>
      </c>
      <c r="G25" s="5">
        <f>OPEX!G22</f>
        <v>0.4</v>
      </c>
      <c r="H25" s="5">
        <f>OPEX!H22</f>
        <v>0.4</v>
      </c>
      <c r="I25" s="5">
        <f>OPEX!I22</f>
        <v>0.4</v>
      </c>
      <c r="J25" s="5">
        <v>0.4</v>
      </c>
      <c r="K25" s="5">
        <v>0.4</v>
      </c>
      <c r="L25" s="5">
        <v>0.4</v>
      </c>
      <c r="M25" s="5">
        <v>0.6</v>
      </c>
      <c r="N25" s="5">
        <f>M25</f>
        <v>0.6</v>
      </c>
      <c r="O25" s="5">
        <f>N25</f>
        <v>0.6</v>
      </c>
      <c r="P25" s="29">
        <f t="shared" si="78"/>
        <v>0.4499999999999999</v>
      </c>
      <c r="Q25" s="15">
        <v>1</v>
      </c>
      <c r="R25" s="15">
        <f t="shared" si="79"/>
        <v>1</v>
      </c>
      <c r="S25" s="15">
        <f t="shared" si="79"/>
        <v>1</v>
      </c>
      <c r="T25" s="15">
        <v>1.4</v>
      </c>
      <c r="U25" s="15">
        <f t="shared" si="79"/>
        <v>1.4</v>
      </c>
      <c r="V25" s="15">
        <f t="shared" si="79"/>
        <v>1.4</v>
      </c>
      <c r="W25" s="15">
        <f t="shared" si="79"/>
        <v>1.4</v>
      </c>
      <c r="X25" s="15">
        <f t="shared" si="79"/>
        <v>1.4</v>
      </c>
      <c r="Y25" s="15">
        <f t="shared" si="79"/>
        <v>1.4</v>
      </c>
      <c r="Z25" s="15">
        <f t="shared" si="79"/>
        <v>1.4</v>
      </c>
      <c r="AA25" s="15">
        <f t="shared" si="79"/>
        <v>1.4</v>
      </c>
      <c r="AB25" s="15">
        <f t="shared" si="79"/>
        <v>1.4</v>
      </c>
      <c r="AC25" s="29">
        <f t="shared" si="80"/>
        <v>1.3000000000000003</v>
      </c>
      <c r="AD25" s="15">
        <v>2</v>
      </c>
      <c r="AE25" s="15">
        <f t="shared" ref="AE25:AE28" si="84">AD25</f>
        <v>2</v>
      </c>
      <c r="AF25" s="15">
        <f t="shared" si="69"/>
        <v>2</v>
      </c>
      <c r="AG25" s="15">
        <v>2.4</v>
      </c>
      <c r="AH25" s="15">
        <f t="shared" si="82"/>
        <v>2.4</v>
      </c>
      <c r="AI25" s="15">
        <f t="shared" si="72"/>
        <v>2.4</v>
      </c>
      <c r="AJ25" s="15">
        <f t="shared" si="73"/>
        <v>2.4</v>
      </c>
      <c r="AK25" s="15">
        <f t="shared" si="74"/>
        <v>2.4</v>
      </c>
      <c r="AL25" s="15">
        <f t="shared" si="75"/>
        <v>2.4</v>
      </c>
      <c r="AM25" s="15">
        <v>2.6</v>
      </c>
      <c r="AN25" s="15">
        <f t="shared" si="76"/>
        <v>2.6</v>
      </c>
      <c r="AO25" s="15">
        <f t="shared" si="77"/>
        <v>2.6</v>
      </c>
      <c r="AP25" s="29">
        <f t="shared" si="83"/>
        <v>2.35</v>
      </c>
    </row>
    <row r="26" spans="1:42" outlineLevel="1" x14ac:dyDescent="0.3">
      <c r="A26" s="1">
        <f>ROW()</f>
        <v>26</v>
      </c>
      <c r="B26" s="4" t="s">
        <v>29</v>
      </c>
      <c r="C26" s="17"/>
      <c r="D26" s="5">
        <f>OPEX!D23</f>
        <v>0</v>
      </c>
      <c r="E26" s="5">
        <f>OPEX!E23</f>
        <v>0</v>
      </c>
      <c r="F26" s="5">
        <f>OPEX!F23</f>
        <v>0</v>
      </c>
      <c r="G26" s="5">
        <f>OPEX!G23</f>
        <v>0</v>
      </c>
      <c r="H26" s="5">
        <f>OPEX!H23</f>
        <v>0</v>
      </c>
      <c r="I26" s="5">
        <f>OPEX!I23</f>
        <v>0</v>
      </c>
      <c r="J26" s="5">
        <f>OPEX!J23</f>
        <v>0</v>
      </c>
      <c r="K26" s="5">
        <f>OPEX!K23</f>
        <v>0</v>
      </c>
      <c r="L26" s="5">
        <f>OPEX!L23</f>
        <v>0</v>
      </c>
      <c r="M26" s="5">
        <f>OPEX!M23</f>
        <v>0</v>
      </c>
      <c r="N26" s="5">
        <f>OPEX!N23</f>
        <v>0</v>
      </c>
      <c r="O26" s="5">
        <f>OPEX!O23</f>
        <v>0</v>
      </c>
      <c r="P26" s="29">
        <f t="shared" si="78"/>
        <v>0</v>
      </c>
      <c r="Q26" s="15">
        <f>O26</f>
        <v>0</v>
      </c>
      <c r="R26" s="15">
        <f t="shared" si="79"/>
        <v>0</v>
      </c>
      <c r="S26" s="15">
        <f t="shared" si="79"/>
        <v>0</v>
      </c>
      <c r="T26" s="15">
        <f t="shared" si="79"/>
        <v>0</v>
      </c>
      <c r="U26" s="15">
        <f t="shared" si="79"/>
        <v>0</v>
      </c>
      <c r="V26" s="15">
        <f t="shared" si="79"/>
        <v>0</v>
      </c>
      <c r="W26" s="15">
        <f t="shared" si="79"/>
        <v>0</v>
      </c>
      <c r="X26" s="15">
        <f t="shared" si="79"/>
        <v>0</v>
      </c>
      <c r="Y26" s="15">
        <f t="shared" si="79"/>
        <v>0</v>
      </c>
      <c r="Z26" s="15">
        <f t="shared" si="79"/>
        <v>0</v>
      </c>
      <c r="AA26" s="15">
        <f t="shared" si="79"/>
        <v>0</v>
      </c>
      <c r="AB26" s="15">
        <f t="shared" si="79"/>
        <v>0</v>
      </c>
      <c r="AC26" s="29">
        <f t="shared" si="80"/>
        <v>0</v>
      </c>
      <c r="AD26" s="15">
        <f>AB26</f>
        <v>0</v>
      </c>
      <c r="AE26" s="15">
        <f t="shared" si="84"/>
        <v>0</v>
      </c>
      <c r="AF26" s="15">
        <f t="shared" si="69"/>
        <v>0</v>
      </c>
      <c r="AG26" s="15">
        <f t="shared" ref="AG26" si="85">AF26</f>
        <v>0</v>
      </c>
      <c r="AH26" s="15">
        <f t="shared" si="82"/>
        <v>0</v>
      </c>
      <c r="AI26" s="15">
        <f t="shared" si="72"/>
        <v>0</v>
      </c>
      <c r="AJ26" s="15">
        <f t="shared" si="73"/>
        <v>0</v>
      </c>
      <c r="AK26" s="15">
        <f t="shared" si="74"/>
        <v>0</v>
      </c>
      <c r="AL26" s="15">
        <f t="shared" si="75"/>
        <v>0</v>
      </c>
      <c r="AM26" s="15">
        <f t="shared" ref="AM26:AM28" si="86">AL26</f>
        <v>0</v>
      </c>
      <c r="AN26" s="15">
        <f t="shared" si="76"/>
        <v>0</v>
      </c>
      <c r="AO26" s="15">
        <f t="shared" si="77"/>
        <v>0</v>
      </c>
      <c r="AP26" s="29">
        <f t="shared" si="83"/>
        <v>0</v>
      </c>
    </row>
    <row r="27" spans="1:42" outlineLevel="1" x14ac:dyDescent="0.3">
      <c r="A27" s="1">
        <f>ROW()</f>
        <v>27</v>
      </c>
      <c r="B27" s="4" t="s">
        <v>30</v>
      </c>
      <c r="C27" s="17"/>
      <c r="D27" s="5">
        <f>OPEX!D24</f>
        <v>0</v>
      </c>
      <c r="E27" s="5">
        <f>OPEX!E24</f>
        <v>0</v>
      </c>
      <c r="F27" s="5">
        <f>OPEX!F24</f>
        <v>0</v>
      </c>
      <c r="G27" s="5">
        <f>OPEX!G24</f>
        <v>0</v>
      </c>
      <c r="H27" s="5">
        <f>OPEX!H24</f>
        <v>0</v>
      </c>
      <c r="I27" s="5">
        <f>OPEX!I24</f>
        <v>0</v>
      </c>
      <c r="J27" s="5">
        <f>OPEX!J24</f>
        <v>0.4</v>
      </c>
      <c r="K27" s="5">
        <f>OPEX!K24</f>
        <v>0.4</v>
      </c>
      <c r="L27" s="5">
        <f>OPEX!L24</f>
        <v>1</v>
      </c>
      <c r="M27" s="5">
        <f>OPEX!M24</f>
        <v>1</v>
      </c>
      <c r="N27" s="5">
        <f>OPEX!N24</f>
        <v>1</v>
      </c>
      <c r="O27" s="5">
        <f>OPEX!O24</f>
        <v>1</v>
      </c>
      <c r="P27" s="29">
        <f t="shared" si="78"/>
        <v>0.39999999999999997</v>
      </c>
      <c r="Q27" s="15">
        <v>1.6</v>
      </c>
      <c r="R27" s="15">
        <f t="shared" si="79"/>
        <v>1.6</v>
      </c>
      <c r="S27" s="15">
        <f t="shared" si="79"/>
        <v>1.6</v>
      </c>
      <c r="T27" s="15">
        <v>2</v>
      </c>
      <c r="U27" s="15">
        <v>2.4</v>
      </c>
      <c r="V27" s="15">
        <f t="shared" si="79"/>
        <v>2.4</v>
      </c>
      <c r="W27" s="15">
        <f t="shared" si="79"/>
        <v>2.4</v>
      </c>
      <c r="X27" s="15">
        <f t="shared" si="79"/>
        <v>2.4</v>
      </c>
      <c r="Y27" s="15">
        <f t="shared" si="79"/>
        <v>2.4</v>
      </c>
      <c r="Z27" s="15">
        <v>3</v>
      </c>
      <c r="AA27" s="15">
        <f t="shared" si="79"/>
        <v>3</v>
      </c>
      <c r="AB27" s="15">
        <f t="shared" si="79"/>
        <v>3</v>
      </c>
      <c r="AC27" s="29">
        <f t="shared" si="80"/>
        <v>2.3166666666666669</v>
      </c>
      <c r="AD27" s="15">
        <v>4</v>
      </c>
      <c r="AE27" s="15">
        <f t="shared" si="84"/>
        <v>4</v>
      </c>
      <c r="AF27" s="15">
        <f t="shared" si="69"/>
        <v>4</v>
      </c>
      <c r="AG27" s="15">
        <v>4.4000000000000004</v>
      </c>
      <c r="AH27" s="15">
        <f t="shared" si="82"/>
        <v>4.4000000000000004</v>
      </c>
      <c r="AI27" s="15">
        <f t="shared" si="72"/>
        <v>4.4000000000000004</v>
      </c>
      <c r="AJ27" s="15">
        <f t="shared" si="73"/>
        <v>4.4000000000000004</v>
      </c>
      <c r="AK27" s="15">
        <f t="shared" si="74"/>
        <v>4.4000000000000004</v>
      </c>
      <c r="AL27" s="15">
        <f t="shared" si="75"/>
        <v>4.4000000000000004</v>
      </c>
      <c r="AM27" s="15">
        <v>4.5999999999999996</v>
      </c>
      <c r="AN27" s="15">
        <f t="shared" si="76"/>
        <v>4.5999999999999996</v>
      </c>
      <c r="AO27" s="15">
        <f t="shared" si="77"/>
        <v>4.5999999999999996</v>
      </c>
      <c r="AP27" s="29">
        <f t="shared" si="83"/>
        <v>4.3499999999999996</v>
      </c>
    </row>
    <row r="28" spans="1:42" outlineLevel="1" x14ac:dyDescent="0.3">
      <c r="A28" s="1">
        <f>ROW()</f>
        <v>28</v>
      </c>
      <c r="B28" s="4" t="s">
        <v>31</v>
      </c>
      <c r="C28" s="17"/>
      <c r="D28" s="5">
        <f>OPEX!D25</f>
        <v>0</v>
      </c>
      <c r="E28" s="5">
        <f>OPEX!E25</f>
        <v>0</v>
      </c>
      <c r="F28" s="5">
        <f>OPEX!F25</f>
        <v>0</v>
      </c>
      <c r="G28" s="5">
        <f>OPEX!G25</f>
        <v>0</v>
      </c>
      <c r="H28" s="5">
        <f>OPEX!H25</f>
        <v>0</v>
      </c>
      <c r="I28" s="5">
        <f>OPEX!I25</f>
        <v>0</v>
      </c>
      <c r="J28" s="5">
        <f>OPEX!J25</f>
        <v>0.4</v>
      </c>
      <c r="K28" s="5">
        <f>OPEX!K25</f>
        <v>0.4</v>
      </c>
      <c r="L28" s="5">
        <f>OPEX!L25</f>
        <v>0.4</v>
      </c>
      <c r="M28" s="5">
        <f>OPEX!M25</f>
        <v>0.4</v>
      </c>
      <c r="N28" s="5">
        <f>OPEX!N25</f>
        <v>0.4</v>
      </c>
      <c r="O28" s="5">
        <f>OPEX!O25</f>
        <v>0.4</v>
      </c>
      <c r="P28" s="29">
        <f t="shared" si="78"/>
        <v>0.19999999999999998</v>
      </c>
      <c r="Q28" s="15">
        <f>O28</f>
        <v>0.4</v>
      </c>
      <c r="R28" s="15">
        <f t="shared" si="79"/>
        <v>0.4</v>
      </c>
      <c r="S28" s="15">
        <f t="shared" si="79"/>
        <v>0.4</v>
      </c>
      <c r="T28" s="15">
        <f t="shared" si="79"/>
        <v>0.4</v>
      </c>
      <c r="U28" s="15">
        <f t="shared" si="79"/>
        <v>0.4</v>
      </c>
      <c r="V28" s="15">
        <f t="shared" si="79"/>
        <v>0.4</v>
      </c>
      <c r="W28" s="15">
        <f t="shared" si="79"/>
        <v>0.4</v>
      </c>
      <c r="X28" s="15">
        <f t="shared" si="79"/>
        <v>0.4</v>
      </c>
      <c r="Y28" s="15">
        <f t="shared" si="79"/>
        <v>0.4</v>
      </c>
      <c r="Z28" s="15">
        <f t="shared" si="79"/>
        <v>0.4</v>
      </c>
      <c r="AA28" s="15">
        <f t="shared" si="79"/>
        <v>0.4</v>
      </c>
      <c r="AB28" s="15">
        <f t="shared" si="79"/>
        <v>0.4</v>
      </c>
      <c r="AC28" s="29">
        <f t="shared" si="80"/>
        <v>0.39999999999999997</v>
      </c>
      <c r="AD28" s="15">
        <f>AB28</f>
        <v>0.4</v>
      </c>
      <c r="AE28" s="15">
        <f t="shared" si="84"/>
        <v>0.4</v>
      </c>
      <c r="AF28" s="15">
        <f t="shared" si="69"/>
        <v>0.4</v>
      </c>
      <c r="AG28" s="15">
        <f t="shared" ref="AG28" si="87">AF28</f>
        <v>0.4</v>
      </c>
      <c r="AH28" s="15">
        <f t="shared" si="82"/>
        <v>0.4</v>
      </c>
      <c r="AI28" s="15">
        <f t="shared" si="72"/>
        <v>0.4</v>
      </c>
      <c r="AJ28" s="15">
        <f t="shared" si="73"/>
        <v>0.4</v>
      </c>
      <c r="AK28" s="15">
        <f t="shared" si="74"/>
        <v>0.4</v>
      </c>
      <c r="AL28" s="15">
        <f t="shared" si="75"/>
        <v>0.4</v>
      </c>
      <c r="AM28" s="15">
        <f t="shared" si="86"/>
        <v>0.4</v>
      </c>
      <c r="AN28" s="15">
        <f t="shared" si="76"/>
        <v>0.4</v>
      </c>
      <c r="AO28" s="15">
        <f t="shared" si="77"/>
        <v>0.4</v>
      </c>
      <c r="AP28" s="29">
        <f t="shared" si="83"/>
        <v>0.39999999999999997</v>
      </c>
    </row>
    <row r="29" spans="1:42" outlineLevel="1" x14ac:dyDescent="0.3">
      <c r="A29" s="1">
        <f>ROW()</f>
        <v>29</v>
      </c>
      <c r="C29" s="17"/>
      <c r="P29" s="17"/>
      <c r="R29" s="15"/>
      <c r="AC29" s="17"/>
      <c r="AE29" s="15"/>
      <c r="AP29" s="17"/>
    </row>
    <row r="30" spans="1:42" outlineLevel="1" x14ac:dyDescent="0.3">
      <c r="A30" s="1">
        <f>ROW()</f>
        <v>30</v>
      </c>
      <c r="B30" t="s">
        <v>21</v>
      </c>
      <c r="C30" s="17"/>
      <c r="D30">
        <v>21</v>
      </c>
      <c r="E30">
        <v>20</v>
      </c>
      <c r="F30">
        <v>22</v>
      </c>
      <c r="G30">
        <v>20</v>
      </c>
      <c r="H30">
        <v>19</v>
      </c>
      <c r="I30">
        <v>22</v>
      </c>
      <c r="J30">
        <v>23</v>
      </c>
      <c r="K30">
        <v>21</v>
      </c>
      <c r="L30">
        <v>22</v>
      </c>
      <c r="M30">
        <v>22</v>
      </c>
      <c r="N30">
        <v>21</v>
      </c>
      <c r="O30">
        <v>22</v>
      </c>
      <c r="P30" s="17"/>
      <c r="Q30">
        <v>21</v>
      </c>
      <c r="R30">
        <v>20</v>
      </c>
      <c r="S30">
        <v>22</v>
      </c>
      <c r="T30">
        <v>20</v>
      </c>
      <c r="U30">
        <v>19</v>
      </c>
      <c r="V30">
        <v>22</v>
      </c>
      <c r="W30">
        <v>23</v>
      </c>
      <c r="X30">
        <v>21</v>
      </c>
      <c r="Y30">
        <v>22</v>
      </c>
      <c r="Z30">
        <v>22</v>
      </c>
      <c r="AA30">
        <v>21</v>
      </c>
      <c r="AB30">
        <v>22</v>
      </c>
      <c r="AC30" s="17"/>
      <c r="AD30">
        <v>21</v>
      </c>
      <c r="AE30">
        <v>20</v>
      </c>
      <c r="AF30">
        <v>22</v>
      </c>
      <c r="AG30">
        <v>20</v>
      </c>
      <c r="AH30">
        <v>19</v>
      </c>
      <c r="AI30">
        <v>22</v>
      </c>
      <c r="AJ30">
        <v>23</v>
      </c>
      <c r="AK30">
        <v>21</v>
      </c>
      <c r="AL30">
        <v>22</v>
      </c>
      <c r="AM30">
        <v>22</v>
      </c>
      <c r="AN30">
        <v>21</v>
      </c>
      <c r="AO30">
        <v>22</v>
      </c>
      <c r="AP30" s="17"/>
    </row>
    <row r="31" spans="1:42" outlineLevel="1" x14ac:dyDescent="0.3">
      <c r="A31" s="1">
        <f>ROW()</f>
        <v>31</v>
      </c>
      <c r="C31" s="17"/>
      <c r="P31" s="17"/>
      <c r="AC31" s="17"/>
      <c r="AP31" s="17"/>
    </row>
    <row r="32" spans="1:42" outlineLevel="1" x14ac:dyDescent="0.3">
      <c r="A32" s="1">
        <f>ROW()</f>
        <v>32</v>
      </c>
      <c r="B32" t="s">
        <v>202</v>
      </c>
      <c r="C32" s="17"/>
      <c r="D32">
        <f>Pakketten!$C$19</f>
        <v>32</v>
      </c>
      <c r="E32">
        <f>Pakketten!$C$19</f>
        <v>32</v>
      </c>
      <c r="F32">
        <f>Pakketten!$C$19</f>
        <v>32</v>
      </c>
      <c r="G32">
        <f>Pakketten!$C$19</f>
        <v>32</v>
      </c>
      <c r="H32">
        <f>Pakketten!$C$19</f>
        <v>32</v>
      </c>
      <c r="I32">
        <f>Pakketten!$C$19</f>
        <v>32</v>
      </c>
      <c r="J32">
        <f>Pakketten!$C$19</f>
        <v>32</v>
      </c>
      <c r="K32">
        <f>Pakketten!$C$19</f>
        <v>32</v>
      </c>
      <c r="L32">
        <f>Pakketten!$C$19</f>
        <v>32</v>
      </c>
      <c r="M32">
        <f>Pakketten!$C$19</f>
        <v>32</v>
      </c>
      <c r="N32">
        <f>Pakketten!$C$19</f>
        <v>32</v>
      </c>
      <c r="O32">
        <f>Pakketten!$C$19</f>
        <v>32</v>
      </c>
      <c r="P32" s="17"/>
      <c r="Q32">
        <f>Pakketten!$C$19</f>
        <v>32</v>
      </c>
      <c r="R32">
        <f>Pakketten!$C$19</f>
        <v>32</v>
      </c>
      <c r="S32">
        <f>Pakketten!$C$19</f>
        <v>32</v>
      </c>
      <c r="T32">
        <f>Pakketten!$C$19</f>
        <v>32</v>
      </c>
      <c r="U32">
        <f>Pakketten!$C$19</f>
        <v>32</v>
      </c>
      <c r="V32">
        <f>Pakketten!$C$19</f>
        <v>32</v>
      </c>
      <c r="W32">
        <f>Pakketten!$C$19</f>
        <v>32</v>
      </c>
      <c r="X32">
        <f>Pakketten!$C$19</f>
        <v>32</v>
      </c>
      <c r="Y32">
        <f>Pakketten!$C$19</f>
        <v>32</v>
      </c>
      <c r="Z32">
        <f>Pakketten!$C$19</f>
        <v>32</v>
      </c>
      <c r="AA32">
        <f>Pakketten!$C$19</f>
        <v>32</v>
      </c>
      <c r="AB32">
        <f>Pakketten!$C$19</f>
        <v>32</v>
      </c>
      <c r="AC32" s="17"/>
      <c r="AD32">
        <f>Pakketten!$C$19</f>
        <v>32</v>
      </c>
      <c r="AE32">
        <f>Pakketten!$C$19</f>
        <v>32</v>
      </c>
      <c r="AF32">
        <f>Pakketten!$C$19</f>
        <v>32</v>
      </c>
      <c r="AG32">
        <f>Pakketten!$C$19</f>
        <v>32</v>
      </c>
      <c r="AH32">
        <f>Pakketten!$C$19</f>
        <v>32</v>
      </c>
      <c r="AI32">
        <f>Pakketten!$C$19</f>
        <v>32</v>
      </c>
      <c r="AJ32">
        <f>Pakketten!$C$19</f>
        <v>32</v>
      </c>
      <c r="AK32">
        <f>Pakketten!$C$19</f>
        <v>32</v>
      </c>
      <c r="AL32">
        <f>Pakketten!$C$19</f>
        <v>32</v>
      </c>
      <c r="AM32">
        <f>Pakketten!$C$19</f>
        <v>32</v>
      </c>
      <c r="AN32">
        <f>Pakketten!$C$19</f>
        <v>32</v>
      </c>
      <c r="AO32">
        <f>Pakketten!$C$19</f>
        <v>32</v>
      </c>
      <c r="AP32" s="17"/>
    </row>
    <row r="33" spans="1:42" outlineLevel="1" x14ac:dyDescent="0.3">
      <c r="A33" s="1">
        <f>ROW()</f>
        <v>33</v>
      </c>
      <c r="B33" t="s">
        <v>203</v>
      </c>
      <c r="C33" s="17"/>
      <c r="D33">
        <f>Pakketten!$K$19</f>
        <v>132</v>
      </c>
      <c r="E33">
        <f>Pakketten!$K$19</f>
        <v>132</v>
      </c>
      <c r="F33">
        <f>Pakketten!$K$19</f>
        <v>132</v>
      </c>
      <c r="G33">
        <f>Pakketten!$K$19</f>
        <v>132</v>
      </c>
      <c r="H33">
        <f>Pakketten!$K$19</f>
        <v>132</v>
      </c>
      <c r="I33">
        <f>Pakketten!$K$19</f>
        <v>132</v>
      </c>
      <c r="J33">
        <f>Pakketten!$K$19</f>
        <v>132</v>
      </c>
      <c r="K33">
        <f>Pakketten!$K$19</f>
        <v>132</v>
      </c>
      <c r="L33">
        <f>Pakketten!$K$19</f>
        <v>132</v>
      </c>
      <c r="M33">
        <f>Pakketten!$K$19</f>
        <v>132</v>
      </c>
      <c r="N33">
        <f>Pakketten!$K$19</f>
        <v>132</v>
      </c>
      <c r="O33">
        <f>Pakketten!$K$19</f>
        <v>132</v>
      </c>
      <c r="P33" s="17"/>
      <c r="Q33">
        <f>Pakketten!$K$19</f>
        <v>132</v>
      </c>
      <c r="R33">
        <f>Pakketten!$K$19</f>
        <v>132</v>
      </c>
      <c r="S33">
        <f>Pakketten!$K$19</f>
        <v>132</v>
      </c>
      <c r="T33">
        <f>Pakketten!$K$19</f>
        <v>132</v>
      </c>
      <c r="U33">
        <f>Pakketten!$K$19</f>
        <v>132</v>
      </c>
      <c r="V33">
        <f>Pakketten!$K$19</f>
        <v>132</v>
      </c>
      <c r="W33">
        <f>Pakketten!$K$19</f>
        <v>132</v>
      </c>
      <c r="X33">
        <f>Pakketten!$K$19</f>
        <v>132</v>
      </c>
      <c r="Y33">
        <f>Pakketten!$K$19</f>
        <v>132</v>
      </c>
      <c r="Z33">
        <f>Pakketten!$K$19</f>
        <v>132</v>
      </c>
      <c r="AA33">
        <f>Pakketten!$K$19</f>
        <v>132</v>
      </c>
      <c r="AB33">
        <f>Pakketten!$K$19</f>
        <v>132</v>
      </c>
      <c r="AC33" s="17"/>
      <c r="AD33">
        <f>Pakketten!$K$19</f>
        <v>132</v>
      </c>
      <c r="AE33">
        <f>Pakketten!$K$19</f>
        <v>132</v>
      </c>
      <c r="AF33">
        <f>Pakketten!$K$19</f>
        <v>132</v>
      </c>
      <c r="AG33">
        <f>Pakketten!$K$19</f>
        <v>132</v>
      </c>
      <c r="AH33">
        <f>Pakketten!$K$19</f>
        <v>132</v>
      </c>
      <c r="AI33">
        <f>Pakketten!$K$19</f>
        <v>132</v>
      </c>
      <c r="AJ33">
        <f>Pakketten!$K$19</f>
        <v>132</v>
      </c>
      <c r="AK33">
        <f>Pakketten!$K$19</f>
        <v>132</v>
      </c>
      <c r="AL33">
        <f>Pakketten!$K$19</f>
        <v>132</v>
      </c>
      <c r="AM33">
        <f>Pakketten!$K$19</f>
        <v>132</v>
      </c>
      <c r="AN33">
        <f>Pakketten!$K$19</f>
        <v>132</v>
      </c>
      <c r="AO33">
        <f>Pakketten!$K$19</f>
        <v>132</v>
      </c>
      <c r="AP33" s="17"/>
    </row>
    <row r="34" spans="1:42" outlineLevel="1" x14ac:dyDescent="0.3">
      <c r="A34" s="1">
        <f>ROW()</f>
        <v>34</v>
      </c>
      <c r="B34" t="s">
        <v>204</v>
      </c>
      <c r="C34" s="17"/>
      <c r="D34">
        <f>Pakketten!$S$19</f>
        <v>208</v>
      </c>
      <c r="E34">
        <f>Pakketten!$S$19</f>
        <v>208</v>
      </c>
      <c r="F34">
        <f>Pakketten!$S$19</f>
        <v>208</v>
      </c>
      <c r="G34">
        <f>Pakketten!$S$19</f>
        <v>208</v>
      </c>
      <c r="H34">
        <f>Pakketten!$S$19</f>
        <v>208</v>
      </c>
      <c r="I34">
        <f>Pakketten!$S$19</f>
        <v>208</v>
      </c>
      <c r="J34">
        <f>Pakketten!$S$19</f>
        <v>208</v>
      </c>
      <c r="K34">
        <f>Pakketten!$S$19</f>
        <v>208</v>
      </c>
      <c r="L34">
        <f>Pakketten!$S$19</f>
        <v>208</v>
      </c>
      <c r="M34">
        <f>Pakketten!$S$19</f>
        <v>208</v>
      </c>
      <c r="N34">
        <f>Pakketten!$S$19</f>
        <v>208</v>
      </c>
      <c r="O34">
        <f>Pakketten!$S$19</f>
        <v>208</v>
      </c>
      <c r="P34" s="17"/>
      <c r="Q34">
        <f>Pakketten!$S$19</f>
        <v>208</v>
      </c>
      <c r="R34">
        <f>Pakketten!$S$19</f>
        <v>208</v>
      </c>
      <c r="S34">
        <f>Pakketten!$S$19</f>
        <v>208</v>
      </c>
      <c r="T34">
        <f>Pakketten!$S$19</f>
        <v>208</v>
      </c>
      <c r="U34">
        <f>Pakketten!$S$19</f>
        <v>208</v>
      </c>
      <c r="V34">
        <f>Pakketten!$S$19</f>
        <v>208</v>
      </c>
      <c r="W34">
        <f>Pakketten!$S$19</f>
        <v>208</v>
      </c>
      <c r="X34">
        <f>Pakketten!$S$19</f>
        <v>208</v>
      </c>
      <c r="Y34">
        <f>Pakketten!$S$19</f>
        <v>208</v>
      </c>
      <c r="Z34">
        <f>Pakketten!$S$19</f>
        <v>208</v>
      </c>
      <c r="AA34">
        <f>Pakketten!$S$19</f>
        <v>208</v>
      </c>
      <c r="AB34">
        <f>Pakketten!$S$19</f>
        <v>208</v>
      </c>
      <c r="AC34" s="17"/>
      <c r="AD34">
        <f>Pakketten!$S$19</f>
        <v>208</v>
      </c>
      <c r="AE34">
        <f>Pakketten!$S$19</f>
        <v>208</v>
      </c>
      <c r="AF34">
        <f>Pakketten!$S$19</f>
        <v>208</v>
      </c>
      <c r="AG34">
        <f>Pakketten!$S$19</f>
        <v>208</v>
      </c>
      <c r="AH34">
        <f>Pakketten!$S$19</f>
        <v>208</v>
      </c>
      <c r="AI34">
        <f>Pakketten!$S$19</f>
        <v>208</v>
      </c>
      <c r="AJ34">
        <f>Pakketten!$S$19</f>
        <v>208</v>
      </c>
      <c r="AK34">
        <f>Pakketten!$S$19</f>
        <v>208</v>
      </c>
      <c r="AL34">
        <f>Pakketten!$S$19</f>
        <v>208</v>
      </c>
      <c r="AM34">
        <f>Pakketten!$S$19</f>
        <v>208</v>
      </c>
      <c r="AN34">
        <f>Pakketten!$S$19</f>
        <v>208</v>
      </c>
      <c r="AO34">
        <f>Pakketten!$S$19</f>
        <v>208</v>
      </c>
      <c r="AP34" s="17"/>
    </row>
    <row r="35" spans="1:42" outlineLevel="1" x14ac:dyDescent="0.3">
      <c r="A35" s="1">
        <f>ROW()</f>
        <v>35</v>
      </c>
      <c r="C35" s="17"/>
      <c r="P35" s="17"/>
      <c r="AC35" s="17"/>
      <c r="AP35" s="17"/>
    </row>
    <row r="36" spans="1:42" outlineLevel="1" x14ac:dyDescent="0.3">
      <c r="B36" s="2" t="s">
        <v>209</v>
      </c>
      <c r="C36" s="17"/>
      <c r="P36" s="17"/>
      <c r="AC36" s="17"/>
      <c r="AP36" s="17"/>
    </row>
    <row r="37" spans="1:42" outlineLevel="1" x14ac:dyDescent="0.3">
      <c r="A37" s="1">
        <f>ROW()</f>
        <v>37</v>
      </c>
      <c r="B37" t="s">
        <v>22</v>
      </c>
      <c r="C37" s="17"/>
      <c r="D37" s="14">
        <f>Pakketten!D10</f>
        <v>91</v>
      </c>
      <c r="E37" s="14">
        <f>D37</f>
        <v>91</v>
      </c>
      <c r="F37" s="14">
        <f t="shared" ref="F37:O37" si="88">E37</f>
        <v>91</v>
      </c>
      <c r="G37" s="14">
        <f t="shared" si="88"/>
        <v>91</v>
      </c>
      <c r="H37" s="14">
        <f t="shared" si="88"/>
        <v>91</v>
      </c>
      <c r="I37" s="14">
        <f t="shared" si="88"/>
        <v>91</v>
      </c>
      <c r="J37" s="14">
        <f t="shared" si="88"/>
        <v>91</v>
      </c>
      <c r="K37" s="14">
        <f t="shared" si="88"/>
        <v>91</v>
      </c>
      <c r="L37" s="14">
        <f t="shared" si="88"/>
        <v>91</v>
      </c>
      <c r="M37" s="14">
        <f t="shared" si="88"/>
        <v>91</v>
      </c>
      <c r="N37" s="14">
        <f t="shared" si="88"/>
        <v>91</v>
      </c>
      <c r="O37" s="14">
        <f t="shared" si="88"/>
        <v>91</v>
      </c>
      <c r="P37" s="17"/>
      <c r="Q37" s="14">
        <f>O37*1.03</f>
        <v>93.73</v>
      </c>
      <c r="R37" s="14">
        <f>Q37</f>
        <v>93.73</v>
      </c>
      <c r="S37" s="14">
        <f t="shared" ref="S37:AB37" si="89">R37</f>
        <v>93.73</v>
      </c>
      <c r="T37" s="14">
        <f t="shared" si="89"/>
        <v>93.73</v>
      </c>
      <c r="U37" s="14">
        <f t="shared" si="89"/>
        <v>93.73</v>
      </c>
      <c r="V37" s="14">
        <f t="shared" si="89"/>
        <v>93.73</v>
      </c>
      <c r="W37" s="14">
        <f t="shared" si="89"/>
        <v>93.73</v>
      </c>
      <c r="X37" s="14">
        <f t="shared" si="89"/>
        <v>93.73</v>
      </c>
      <c r="Y37" s="14">
        <f t="shared" si="89"/>
        <v>93.73</v>
      </c>
      <c r="Z37" s="14">
        <f t="shared" si="89"/>
        <v>93.73</v>
      </c>
      <c r="AA37" s="14">
        <f t="shared" si="89"/>
        <v>93.73</v>
      </c>
      <c r="AB37" s="14">
        <f t="shared" si="89"/>
        <v>93.73</v>
      </c>
      <c r="AC37" s="17"/>
      <c r="AD37" s="14">
        <f>AB37*1.03</f>
        <v>96.541900000000012</v>
      </c>
      <c r="AE37" s="14">
        <f>AD37</f>
        <v>96.541900000000012</v>
      </c>
      <c r="AF37" s="14">
        <f t="shared" ref="AF37:AF43" si="90">AE37</f>
        <v>96.541900000000012</v>
      </c>
      <c r="AG37" s="14">
        <f t="shared" ref="AG37:AG43" si="91">AF37</f>
        <v>96.541900000000012</v>
      </c>
      <c r="AH37" s="14">
        <f t="shared" ref="AH37:AH43" si="92">AG37</f>
        <v>96.541900000000012</v>
      </c>
      <c r="AI37" s="14">
        <f t="shared" ref="AI37:AI43" si="93">AH37</f>
        <v>96.541900000000012</v>
      </c>
      <c r="AJ37" s="14">
        <f t="shared" ref="AJ37:AJ43" si="94">AI37</f>
        <v>96.541900000000012</v>
      </c>
      <c r="AK37" s="14">
        <f t="shared" ref="AK37:AK43" si="95">AJ37</f>
        <v>96.541900000000012</v>
      </c>
      <c r="AL37" s="14">
        <f t="shared" ref="AL37:AL43" si="96">AK37</f>
        <v>96.541900000000012</v>
      </c>
      <c r="AM37" s="14">
        <f t="shared" ref="AM37:AM43" si="97">AL37</f>
        <v>96.541900000000012</v>
      </c>
      <c r="AN37" s="14">
        <f t="shared" ref="AN37:AN43" si="98">AM37</f>
        <v>96.541900000000012</v>
      </c>
      <c r="AO37" s="14">
        <f t="shared" ref="AO37:AO43" si="99">AN37</f>
        <v>96.541900000000012</v>
      </c>
      <c r="AP37" s="17"/>
    </row>
    <row r="38" spans="1:42" outlineLevel="1" x14ac:dyDescent="0.3">
      <c r="A38" s="1">
        <f>ROW()</f>
        <v>38</v>
      </c>
      <c r="B38" t="s">
        <v>23</v>
      </c>
      <c r="C38" s="17"/>
      <c r="D38" s="14">
        <f>Pakketten!D12</f>
        <v>95.156999999999982</v>
      </c>
      <c r="E38" s="14">
        <f t="shared" ref="E38:O43" si="100">D38</f>
        <v>95.156999999999982</v>
      </c>
      <c r="F38" s="14">
        <f t="shared" si="100"/>
        <v>95.156999999999982</v>
      </c>
      <c r="G38" s="14">
        <f t="shared" si="100"/>
        <v>95.156999999999982</v>
      </c>
      <c r="H38" s="14">
        <f t="shared" si="100"/>
        <v>95.156999999999982</v>
      </c>
      <c r="I38" s="14">
        <f t="shared" si="100"/>
        <v>95.156999999999982</v>
      </c>
      <c r="J38" s="14">
        <f t="shared" si="100"/>
        <v>95.156999999999982</v>
      </c>
      <c r="K38" s="14">
        <f t="shared" si="100"/>
        <v>95.156999999999982</v>
      </c>
      <c r="L38" s="14">
        <f t="shared" si="100"/>
        <v>95.156999999999982</v>
      </c>
      <c r="M38" s="14">
        <f t="shared" si="100"/>
        <v>95.156999999999982</v>
      </c>
      <c r="N38" s="14">
        <f t="shared" si="100"/>
        <v>95.156999999999982</v>
      </c>
      <c r="O38" s="14">
        <f t="shared" si="100"/>
        <v>95.156999999999982</v>
      </c>
      <c r="P38" s="17"/>
      <c r="Q38" s="14">
        <f t="shared" ref="Q38:Q43" si="101">O38*1.03</f>
        <v>98.011709999999979</v>
      </c>
      <c r="R38" s="14">
        <f t="shared" ref="R38:AB43" si="102">Q38</f>
        <v>98.011709999999979</v>
      </c>
      <c r="S38" s="14">
        <f t="shared" si="102"/>
        <v>98.011709999999979</v>
      </c>
      <c r="T38" s="14">
        <f t="shared" si="102"/>
        <v>98.011709999999979</v>
      </c>
      <c r="U38" s="14">
        <f t="shared" si="102"/>
        <v>98.011709999999979</v>
      </c>
      <c r="V38" s="14">
        <f t="shared" si="102"/>
        <v>98.011709999999979</v>
      </c>
      <c r="W38" s="14">
        <f t="shared" si="102"/>
        <v>98.011709999999979</v>
      </c>
      <c r="X38" s="14">
        <f t="shared" si="102"/>
        <v>98.011709999999979</v>
      </c>
      <c r="Y38" s="14">
        <f t="shared" si="102"/>
        <v>98.011709999999979</v>
      </c>
      <c r="Z38" s="14">
        <f t="shared" si="102"/>
        <v>98.011709999999979</v>
      </c>
      <c r="AA38" s="14">
        <f t="shared" si="102"/>
        <v>98.011709999999979</v>
      </c>
      <c r="AB38" s="14">
        <f t="shared" si="102"/>
        <v>98.011709999999979</v>
      </c>
      <c r="AC38" s="17"/>
      <c r="AD38" s="14">
        <f t="shared" ref="AD38:AD43" si="103">AB38*1.03</f>
        <v>100.95206129999998</v>
      </c>
      <c r="AE38" s="14">
        <f t="shared" ref="AE38:AE43" si="104">AD38</f>
        <v>100.95206129999998</v>
      </c>
      <c r="AF38" s="14">
        <f t="shared" si="90"/>
        <v>100.95206129999998</v>
      </c>
      <c r="AG38" s="14">
        <f t="shared" si="91"/>
        <v>100.95206129999998</v>
      </c>
      <c r="AH38" s="14">
        <f t="shared" si="92"/>
        <v>100.95206129999998</v>
      </c>
      <c r="AI38" s="14">
        <f t="shared" si="93"/>
        <v>100.95206129999998</v>
      </c>
      <c r="AJ38" s="14">
        <f t="shared" si="94"/>
        <v>100.95206129999998</v>
      </c>
      <c r="AK38" s="14">
        <f t="shared" si="95"/>
        <v>100.95206129999998</v>
      </c>
      <c r="AL38" s="14">
        <f t="shared" si="96"/>
        <v>100.95206129999998</v>
      </c>
      <c r="AM38" s="14">
        <f t="shared" si="97"/>
        <v>100.95206129999998</v>
      </c>
      <c r="AN38" s="14">
        <f t="shared" si="98"/>
        <v>100.95206129999998</v>
      </c>
      <c r="AO38" s="14">
        <f t="shared" si="99"/>
        <v>100.95206129999998</v>
      </c>
      <c r="AP38" s="17"/>
    </row>
    <row r="39" spans="1:42" outlineLevel="1" x14ac:dyDescent="0.3">
      <c r="A39" s="1">
        <f>ROW()</f>
        <v>39</v>
      </c>
      <c r="B39" s="4" t="s">
        <v>205</v>
      </c>
      <c r="C39" s="17"/>
      <c r="D39" s="14">
        <f>Pakketten!D14</f>
        <v>62.426249999999996</v>
      </c>
      <c r="E39" s="14">
        <f t="shared" si="100"/>
        <v>62.426249999999996</v>
      </c>
      <c r="F39" s="14">
        <f t="shared" si="100"/>
        <v>62.426249999999996</v>
      </c>
      <c r="G39" s="14">
        <f t="shared" si="100"/>
        <v>62.426249999999996</v>
      </c>
      <c r="H39" s="14">
        <f t="shared" si="100"/>
        <v>62.426249999999996</v>
      </c>
      <c r="I39" s="14">
        <f t="shared" si="100"/>
        <v>62.426249999999996</v>
      </c>
      <c r="J39" s="14">
        <f t="shared" si="100"/>
        <v>62.426249999999996</v>
      </c>
      <c r="K39" s="14">
        <f t="shared" si="100"/>
        <v>62.426249999999996</v>
      </c>
      <c r="L39" s="14">
        <f t="shared" si="100"/>
        <v>62.426249999999996</v>
      </c>
      <c r="M39" s="14">
        <f t="shared" si="100"/>
        <v>62.426249999999996</v>
      </c>
      <c r="N39" s="14">
        <f t="shared" si="100"/>
        <v>62.426249999999996</v>
      </c>
      <c r="O39" s="14">
        <f t="shared" si="100"/>
        <v>62.426249999999996</v>
      </c>
      <c r="P39" s="17"/>
      <c r="Q39" s="14">
        <f t="shared" si="101"/>
        <v>64.299037499999997</v>
      </c>
      <c r="R39" s="14">
        <f t="shared" si="102"/>
        <v>64.299037499999997</v>
      </c>
      <c r="S39" s="14">
        <f t="shared" si="102"/>
        <v>64.299037499999997</v>
      </c>
      <c r="T39" s="14">
        <f t="shared" si="102"/>
        <v>64.299037499999997</v>
      </c>
      <c r="U39" s="14">
        <f t="shared" si="102"/>
        <v>64.299037499999997</v>
      </c>
      <c r="V39" s="14">
        <f t="shared" si="102"/>
        <v>64.299037499999997</v>
      </c>
      <c r="W39" s="14">
        <f t="shared" si="102"/>
        <v>64.299037499999997</v>
      </c>
      <c r="X39" s="14">
        <f t="shared" si="102"/>
        <v>64.299037499999997</v>
      </c>
      <c r="Y39" s="14">
        <f t="shared" si="102"/>
        <v>64.299037499999997</v>
      </c>
      <c r="Z39" s="14">
        <f t="shared" si="102"/>
        <v>64.299037499999997</v>
      </c>
      <c r="AA39" s="14">
        <f t="shared" si="102"/>
        <v>64.299037499999997</v>
      </c>
      <c r="AB39" s="14">
        <f t="shared" si="102"/>
        <v>64.299037499999997</v>
      </c>
      <c r="AC39" s="17"/>
      <c r="AD39" s="14">
        <f t="shared" si="103"/>
        <v>66.228008625000001</v>
      </c>
      <c r="AE39" s="14">
        <f t="shared" si="104"/>
        <v>66.228008625000001</v>
      </c>
      <c r="AF39" s="14">
        <f t="shared" si="90"/>
        <v>66.228008625000001</v>
      </c>
      <c r="AG39" s="14">
        <f t="shared" si="91"/>
        <v>66.228008625000001</v>
      </c>
      <c r="AH39" s="14">
        <f t="shared" si="92"/>
        <v>66.228008625000001</v>
      </c>
      <c r="AI39" s="14">
        <f t="shared" si="93"/>
        <v>66.228008625000001</v>
      </c>
      <c r="AJ39" s="14">
        <f t="shared" si="94"/>
        <v>66.228008625000001</v>
      </c>
      <c r="AK39" s="14">
        <f t="shared" si="95"/>
        <v>66.228008625000001</v>
      </c>
      <c r="AL39" s="14">
        <f t="shared" si="96"/>
        <v>66.228008625000001</v>
      </c>
      <c r="AM39" s="14">
        <f t="shared" si="97"/>
        <v>66.228008625000001</v>
      </c>
      <c r="AN39" s="14">
        <f t="shared" si="98"/>
        <v>66.228008625000001</v>
      </c>
      <c r="AO39" s="14">
        <f t="shared" si="99"/>
        <v>66.228008625000001</v>
      </c>
      <c r="AP39" s="17"/>
    </row>
    <row r="40" spans="1:42" outlineLevel="1" x14ac:dyDescent="0.3">
      <c r="A40" s="1">
        <f>ROW()</f>
        <v>40</v>
      </c>
      <c r="B40" s="4" t="s">
        <v>213</v>
      </c>
      <c r="C40" s="17"/>
      <c r="D40" s="14">
        <f>Pakketten!D15</f>
        <v>77.666624999999996</v>
      </c>
      <c r="E40" s="14">
        <f t="shared" si="100"/>
        <v>77.666624999999996</v>
      </c>
      <c r="F40" s="14">
        <f t="shared" si="100"/>
        <v>77.666624999999996</v>
      </c>
      <c r="G40" s="14">
        <f t="shared" si="100"/>
        <v>77.666624999999996</v>
      </c>
      <c r="H40" s="14">
        <f t="shared" si="100"/>
        <v>77.666624999999996</v>
      </c>
      <c r="I40" s="14">
        <f t="shared" si="100"/>
        <v>77.666624999999996</v>
      </c>
      <c r="J40" s="14">
        <f t="shared" si="100"/>
        <v>77.666624999999996</v>
      </c>
      <c r="K40" s="14">
        <f t="shared" si="100"/>
        <v>77.666624999999996</v>
      </c>
      <c r="L40" s="14">
        <f t="shared" si="100"/>
        <v>77.666624999999996</v>
      </c>
      <c r="M40" s="14">
        <f t="shared" si="100"/>
        <v>77.666624999999996</v>
      </c>
      <c r="N40" s="14">
        <f t="shared" si="100"/>
        <v>77.666624999999996</v>
      </c>
      <c r="O40" s="14">
        <f t="shared" si="100"/>
        <v>77.666624999999996</v>
      </c>
      <c r="P40" s="17"/>
      <c r="Q40" s="14">
        <f t="shared" si="101"/>
        <v>79.996623749999998</v>
      </c>
      <c r="R40" s="14">
        <f t="shared" si="102"/>
        <v>79.996623749999998</v>
      </c>
      <c r="S40" s="14">
        <f t="shared" si="102"/>
        <v>79.996623749999998</v>
      </c>
      <c r="T40" s="14">
        <f t="shared" si="102"/>
        <v>79.996623749999998</v>
      </c>
      <c r="U40" s="14">
        <f t="shared" si="102"/>
        <v>79.996623749999998</v>
      </c>
      <c r="V40" s="14">
        <f t="shared" si="102"/>
        <v>79.996623749999998</v>
      </c>
      <c r="W40" s="14">
        <f t="shared" si="102"/>
        <v>79.996623749999998</v>
      </c>
      <c r="X40" s="14">
        <f t="shared" si="102"/>
        <v>79.996623749999998</v>
      </c>
      <c r="Y40" s="14">
        <f t="shared" si="102"/>
        <v>79.996623749999998</v>
      </c>
      <c r="Z40" s="14">
        <f t="shared" si="102"/>
        <v>79.996623749999998</v>
      </c>
      <c r="AA40" s="14">
        <f t="shared" si="102"/>
        <v>79.996623749999998</v>
      </c>
      <c r="AB40" s="14">
        <f t="shared" si="102"/>
        <v>79.996623749999998</v>
      </c>
      <c r="AC40" s="17"/>
      <c r="AD40" s="14">
        <f t="shared" si="103"/>
        <v>82.396522462500002</v>
      </c>
      <c r="AE40" s="14">
        <f t="shared" si="104"/>
        <v>82.396522462500002</v>
      </c>
      <c r="AF40" s="14">
        <f t="shared" si="90"/>
        <v>82.396522462500002</v>
      </c>
      <c r="AG40" s="14">
        <f t="shared" si="91"/>
        <v>82.396522462500002</v>
      </c>
      <c r="AH40" s="14">
        <f t="shared" si="92"/>
        <v>82.396522462500002</v>
      </c>
      <c r="AI40" s="14">
        <f t="shared" si="93"/>
        <v>82.396522462500002</v>
      </c>
      <c r="AJ40" s="14">
        <f t="shared" si="94"/>
        <v>82.396522462500002</v>
      </c>
      <c r="AK40" s="14">
        <f t="shared" si="95"/>
        <v>82.396522462500002</v>
      </c>
      <c r="AL40" s="14">
        <f t="shared" si="96"/>
        <v>82.396522462500002</v>
      </c>
      <c r="AM40" s="14">
        <f t="shared" si="97"/>
        <v>82.396522462500002</v>
      </c>
      <c r="AN40" s="14">
        <f t="shared" si="98"/>
        <v>82.396522462500002</v>
      </c>
      <c r="AO40" s="14">
        <f t="shared" si="99"/>
        <v>82.396522462500002</v>
      </c>
      <c r="AP40" s="17"/>
    </row>
    <row r="41" spans="1:42" outlineLevel="1" x14ac:dyDescent="0.3">
      <c r="A41" s="1">
        <f>ROW()</f>
        <v>41</v>
      </c>
      <c r="B41" s="4" t="s">
        <v>206</v>
      </c>
      <c r="C41" s="17"/>
      <c r="D41" s="14">
        <f>Pakketten!D16</f>
        <v>50.390999999999991</v>
      </c>
      <c r="E41" s="14">
        <f t="shared" si="100"/>
        <v>50.390999999999991</v>
      </c>
      <c r="F41" s="14">
        <f t="shared" si="100"/>
        <v>50.390999999999991</v>
      </c>
      <c r="G41" s="14">
        <f t="shared" si="100"/>
        <v>50.390999999999991</v>
      </c>
      <c r="H41" s="14">
        <f t="shared" si="100"/>
        <v>50.390999999999991</v>
      </c>
      <c r="I41" s="14">
        <f t="shared" si="100"/>
        <v>50.390999999999991</v>
      </c>
      <c r="J41" s="14">
        <f t="shared" si="100"/>
        <v>50.390999999999991</v>
      </c>
      <c r="K41" s="14">
        <f t="shared" si="100"/>
        <v>50.390999999999991</v>
      </c>
      <c r="L41" s="14">
        <f t="shared" si="100"/>
        <v>50.390999999999991</v>
      </c>
      <c r="M41" s="14">
        <f t="shared" si="100"/>
        <v>50.390999999999991</v>
      </c>
      <c r="N41" s="14">
        <f t="shared" si="100"/>
        <v>50.390999999999991</v>
      </c>
      <c r="O41" s="14">
        <f t="shared" si="100"/>
        <v>50.390999999999991</v>
      </c>
      <c r="P41" s="17"/>
      <c r="Q41" s="14">
        <f t="shared" si="101"/>
        <v>51.902729999999991</v>
      </c>
      <c r="R41" s="14">
        <f t="shared" si="102"/>
        <v>51.902729999999991</v>
      </c>
      <c r="S41" s="14">
        <f t="shared" si="102"/>
        <v>51.902729999999991</v>
      </c>
      <c r="T41" s="14">
        <f t="shared" si="102"/>
        <v>51.902729999999991</v>
      </c>
      <c r="U41" s="14">
        <f t="shared" si="102"/>
        <v>51.902729999999991</v>
      </c>
      <c r="V41" s="14">
        <f t="shared" si="102"/>
        <v>51.902729999999991</v>
      </c>
      <c r="W41" s="14">
        <f t="shared" si="102"/>
        <v>51.902729999999991</v>
      </c>
      <c r="X41" s="14">
        <f t="shared" si="102"/>
        <v>51.902729999999991</v>
      </c>
      <c r="Y41" s="14">
        <f t="shared" si="102"/>
        <v>51.902729999999991</v>
      </c>
      <c r="Z41" s="14">
        <f t="shared" si="102"/>
        <v>51.902729999999991</v>
      </c>
      <c r="AA41" s="14">
        <f t="shared" si="102"/>
        <v>51.902729999999991</v>
      </c>
      <c r="AB41" s="14">
        <f t="shared" si="102"/>
        <v>51.902729999999991</v>
      </c>
      <c r="AC41" s="17"/>
      <c r="AD41" s="14">
        <f t="shared" si="103"/>
        <v>53.459811899999991</v>
      </c>
      <c r="AE41" s="14">
        <f t="shared" si="104"/>
        <v>53.459811899999991</v>
      </c>
      <c r="AF41" s="14">
        <f t="shared" si="90"/>
        <v>53.459811899999991</v>
      </c>
      <c r="AG41" s="14">
        <f t="shared" si="91"/>
        <v>53.459811899999991</v>
      </c>
      <c r="AH41" s="14">
        <f t="shared" si="92"/>
        <v>53.459811899999991</v>
      </c>
      <c r="AI41" s="14">
        <f t="shared" si="93"/>
        <v>53.459811899999991</v>
      </c>
      <c r="AJ41" s="14">
        <f t="shared" si="94"/>
        <v>53.459811899999991</v>
      </c>
      <c r="AK41" s="14">
        <f t="shared" si="95"/>
        <v>53.459811899999991</v>
      </c>
      <c r="AL41" s="14">
        <f t="shared" si="96"/>
        <v>53.459811899999991</v>
      </c>
      <c r="AM41" s="14">
        <f t="shared" si="97"/>
        <v>53.459811899999991</v>
      </c>
      <c r="AN41" s="14">
        <f t="shared" si="98"/>
        <v>53.459811899999991</v>
      </c>
      <c r="AO41" s="14">
        <f t="shared" si="99"/>
        <v>53.459811899999991</v>
      </c>
      <c r="AP41" s="17"/>
    </row>
    <row r="42" spans="1:42" outlineLevel="1" x14ac:dyDescent="0.3">
      <c r="A42" s="1">
        <f>ROW()</f>
        <v>42</v>
      </c>
      <c r="B42" s="4" t="s">
        <v>207</v>
      </c>
      <c r="C42" s="17"/>
      <c r="D42" s="14">
        <f>Pakketten!D17</f>
        <v>34.60575</v>
      </c>
      <c r="E42" s="14">
        <f t="shared" si="100"/>
        <v>34.60575</v>
      </c>
      <c r="F42" s="14">
        <f t="shared" si="100"/>
        <v>34.60575</v>
      </c>
      <c r="G42" s="14">
        <f t="shared" si="100"/>
        <v>34.60575</v>
      </c>
      <c r="H42" s="14">
        <f t="shared" si="100"/>
        <v>34.60575</v>
      </c>
      <c r="I42" s="14">
        <f t="shared" si="100"/>
        <v>34.60575</v>
      </c>
      <c r="J42" s="14">
        <f t="shared" si="100"/>
        <v>34.60575</v>
      </c>
      <c r="K42" s="14">
        <f t="shared" si="100"/>
        <v>34.60575</v>
      </c>
      <c r="L42" s="14">
        <f t="shared" si="100"/>
        <v>34.60575</v>
      </c>
      <c r="M42" s="14">
        <f t="shared" si="100"/>
        <v>34.60575</v>
      </c>
      <c r="N42" s="14">
        <f t="shared" si="100"/>
        <v>34.60575</v>
      </c>
      <c r="O42" s="14">
        <f t="shared" si="100"/>
        <v>34.60575</v>
      </c>
      <c r="P42" s="17"/>
      <c r="Q42" s="14">
        <f t="shared" si="101"/>
        <v>35.643922500000002</v>
      </c>
      <c r="R42" s="14">
        <f t="shared" si="102"/>
        <v>35.643922500000002</v>
      </c>
      <c r="S42" s="14">
        <f t="shared" si="102"/>
        <v>35.643922500000002</v>
      </c>
      <c r="T42" s="14">
        <f t="shared" si="102"/>
        <v>35.643922500000002</v>
      </c>
      <c r="U42" s="14">
        <f t="shared" si="102"/>
        <v>35.643922500000002</v>
      </c>
      <c r="V42" s="14">
        <f t="shared" si="102"/>
        <v>35.643922500000002</v>
      </c>
      <c r="W42" s="14">
        <f t="shared" si="102"/>
        <v>35.643922500000002</v>
      </c>
      <c r="X42" s="14">
        <f t="shared" si="102"/>
        <v>35.643922500000002</v>
      </c>
      <c r="Y42" s="14">
        <f t="shared" si="102"/>
        <v>35.643922500000002</v>
      </c>
      <c r="Z42" s="14">
        <f t="shared" si="102"/>
        <v>35.643922500000002</v>
      </c>
      <c r="AA42" s="14">
        <f t="shared" si="102"/>
        <v>35.643922500000002</v>
      </c>
      <c r="AB42" s="14">
        <f t="shared" si="102"/>
        <v>35.643922500000002</v>
      </c>
      <c r="AC42" s="17"/>
      <c r="AD42" s="14">
        <f t="shared" si="103"/>
        <v>36.713240175000003</v>
      </c>
      <c r="AE42" s="14">
        <f t="shared" si="104"/>
        <v>36.713240175000003</v>
      </c>
      <c r="AF42" s="14">
        <f t="shared" si="90"/>
        <v>36.713240175000003</v>
      </c>
      <c r="AG42" s="14">
        <f t="shared" si="91"/>
        <v>36.713240175000003</v>
      </c>
      <c r="AH42" s="14">
        <f t="shared" si="92"/>
        <v>36.713240175000003</v>
      </c>
      <c r="AI42" s="14">
        <f t="shared" si="93"/>
        <v>36.713240175000003</v>
      </c>
      <c r="AJ42" s="14">
        <f t="shared" si="94"/>
        <v>36.713240175000003</v>
      </c>
      <c r="AK42" s="14">
        <f t="shared" si="95"/>
        <v>36.713240175000003</v>
      </c>
      <c r="AL42" s="14">
        <f t="shared" si="96"/>
        <v>36.713240175000003</v>
      </c>
      <c r="AM42" s="14">
        <f t="shared" si="97"/>
        <v>36.713240175000003</v>
      </c>
      <c r="AN42" s="14">
        <f t="shared" si="98"/>
        <v>36.713240175000003</v>
      </c>
      <c r="AO42" s="14">
        <f t="shared" si="99"/>
        <v>36.713240175000003</v>
      </c>
      <c r="AP42" s="17"/>
    </row>
    <row r="43" spans="1:42" outlineLevel="1" x14ac:dyDescent="0.3">
      <c r="A43" s="1">
        <f>ROW()</f>
        <v>43</v>
      </c>
      <c r="B43" s="4" t="s">
        <v>208</v>
      </c>
      <c r="C43" s="17"/>
      <c r="D43" s="14">
        <f>Pakketten!D18</f>
        <v>50.971124999999994</v>
      </c>
      <c r="E43" s="14">
        <f t="shared" si="100"/>
        <v>50.971124999999994</v>
      </c>
      <c r="F43" s="14">
        <f t="shared" si="100"/>
        <v>50.971124999999994</v>
      </c>
      <c r="G43" s="14">
        <f t="shared" si="100"/>
        <v>50.971124999999994</v>
      </c>
      <c r="H43" s="14">
        <f t="shared" si="100"/>
        <v>50.971124999999994</v>
      </c>
      <c r="I43" s="14">
        <f t="shared" si="100"/>
        <v>50.971124999999994</v>
      </c>
      <c r="J43" s="14">
        <f t="shared" si="100"/>
        <v>50.971124999999994</v>
      </c>
      <c r="K43" s="14">
        <f t="shared" si="100"/>
        <v>50.971124999999994</v>
      </c>
      <c r="L43" s="14">
        <f t="shared" si="100"/>
        <v>50.971124999999994</v>
      </c>
      <c r="M43" s="14">
        <f t="shared" si="100"/>
        <v>50.971124999999994</v>
      </c>
      <c r="N43" s="14">
        <f t="shared" si="100"/>
        <v>50.971124999999994</v>
      </c>
      <c r="O43" s="14">
        <f t="shared" si="100"/>
        <v>50.971124999999994</v>
      </c>
      <c r="P43" s="17"/>
      <c r="Q43" s="14">
        <f t="shared" si="101"/>
        <v>52.500258749999993</v>
      </c>
      <c r="R43" s="14">
        <f t="shared" si="102"/>
        <v>52.500258749999993</v>
      </c>
      <c r="S43" s="14">
        <f t="shared" si="102"/>
        <v>52.500258749999993</v>
      </c>
      <c r="T43" s="14">
        <f t="shared" si="102"/>
        <v>52.500258749999993</v>
      </c>
      <c r="U43" s="14">
        <f t="shared" si="102"/>
        <v>52.500258749999993</v>
      </c>
      <c r="V43" s="14">
        <f t="shared" si="102"/>
        <v>52.500258749999993</v>
      </c>
      <c r="W43" s="14">
        <f t="shared" si="102"/>
        <v>52.500258749999993</v>
      </c>
      <c r="X43" s="14">
        <f t="shared" si="102"/>
        <v>52.500258749999993</v>
      </c>
      <c r="Y43" s="14">
        <f t="shared" si="102"/>
        <v>52.500258749999993</v>
      </c>
      <c r="Z43" s="14">
        <f t="shared" si="102"/>
        <v>52.500258749999993</v>
      </c>
      <c r="AA43" s="14">
        <f t="shared" si="102"/>
        <v>52.500258749999993</v>
      </c>
      <c r="AB43" s="14">
        <f t="shared" si="102"/>
        <v>52.500258749999993</v>
      </c>
      <c r="AC43" s="17"/>
      <c r="AD43" s="14">
        <f t="shared" si="103"/>
        <v>54.075266512499994</v>
      </c>
      <c r="AE43" s="14">
        <f t="shared" si="104"/>
        <v>54.075266512499994</v>
      </c>
      <c r="AF43" s="14">
        <f t="shared" si="90"/>
        <v>54.075266512499994</v>
      </c>
      <c r="AG43" s="14">
        <f t="shared" si="91"/>
        <v>54.075266512499994</v>
      </c>
      <c r="AH43" s="14">
        <f t="shared" si="92"/>
        <v>54.075266512499994</v>
      </c>
      <c r="AI43" s="14">
        <f t="shared" si="93"/>
        <v>54.075266512499994</v>
      </c>
      <c r="AJ43" s="14">
        <f t="shared" si="94"/>
        <v>54.075266512499994</v>
      </c>
      <c r="AK43" s="14">
        <f t="shared" si="95"/>
        <v>54.075266512499994</v>
      </c>
      <c r="AL43" s="14">
        <f t="shared" si="96"/>
        <v>54.075266512499994</v>
      </c>
      <c r="AM43" s="14">
        <f t="shared" si="97"/>
        <v>54.075266512499994</v>
      </c>
      <c r="AN43" s="14">
        <f t="shared" si="98"/>
        <v>54.075266512499994</v>
      </c>
      <c r="AO43" s="14">
        <f t="shared" si="99"/>
        <v>54.075266512499994</v>
      </c>
      <c r="AP43" s="17"/>
    </row>
    <row r="44" spans="1:42" outlineLevel="1" x14ac:dyDescent="0.3">
      <c r="A44" s="1">
        <f>ROW()</f>
        <v>44</v>
      </c>
      <c r="C44" s="17"/>
      <c r="P44" s="17"/>
      <c r="AC44" s="17"/>
      <c r="AP44" s="17"/>
    </row>
    <row r="45" spans="1:42" outlineLevel="1" x14ac:dyDescent="0.3">
      <c r="A45" s="1">
        <f>ROW()</f>
        <v>45</v>
      </c>
      <c r="B45" s="2" t="s">
        <v>210</v>
      </c>
      <c r="C45" s="17"/>
      <c r="P45" s="17"/>
      <c r="AC45" s="17"/>
      <c r="AP45" s="17"/>
    </row>
    <row r="46" spans="1:42" outlineLevel="1" x14ac:dyDescent="0.3">
      <c r="A46" s="1">
        <f>ROW()</f>
        <v>46</v>
      </c>
      <c r="B46" s="4" t="s">
        <v>24</v>
      </c>
      <c r="C46" s="19"/>
      <c r="D46">
        <f>D$7*Pakketten!$C10+D$8*Pakketten!$K10+RFF!D$9*Pakketten!$S10</f>
        <v>0</v>
      </c>
      <c r="E46">
        <f>E$7*Pakketten!$C10+E$8*Pakketten!$K10+RFF!E$9*Pakketten!$S10</f>
        <v>0</v>
      </c>
      <c r="F46">
        <f>F$7*Pakketten!$C10+F$8*Pakketten!$K10+RFF!F$9*Pakketten!$S10</f>
        <v>0</v>
      </c>
      <c r="G46">
        <f>G$7*Pakketten!$C10+G$8*Pakketten!$K10+RFF!G$9*Pakketten!$S10</f>
        <v>4</v>
      </c>
      <c r="H46">
        <f>H$7*Pakketten!$C10+H$8*Pakketten!$K10+RFF!H$9*Pakketten!$S10</f>
        <v>4</v>
      </c>
      <c r="I46">
        <f>I$7*Pakketten!$C10+I$8*Pakketten!$K10+RFF!I$9*Pakketten!$S10</f>
        <v>4</v>
      </c>
      <c r="J46">
        <f>J$7*Pakketten!$C10+J$8*Pakketten!$K10+RFF!J$9*Pakketten!$S10</f>
        <v>16</v>
      </c>
      <c r="K46">
        <f>K$7*Pakketten!$C10+K$8*Pakketten!$K10+RFF!K$9*Pakketten!$S10</f>
        <v>16</v>
      </c>
      <c r="L46">
        <f>L$7*Pakketten!$C10+L$8*Pakketten!$K10+RFF!L$9*Pakketten!$S10</f>
        <v>16</v>
      </c>
      <c r="M46">
        <f>M$7*Pakketten!$C10+M$8*Pakketten!$K10+RFF!M$9*Pakketten!$S10</f>
        <v>28</v>
      </c>
      <c r="N46">
        <f>N$7*Pakketten!$C10+N$8*Pakketten!$K10+RFF!N$9*Pakketten!$S10</f>
        <v>28</v>
      </c>
      <c r="O46">
        <f>O$7*Pakketten!$C10+O$8*Pakketten!$K10+RFF!O$9*Pakketten!$S10</f>
        <v>28</v>
      </c>
      <c r="P46" s="19">
        <f>SUM(D46:O46)</f>
        <v>144</v>
      </c>
      <c r="Q46">
        <f>Q$7*Pakketten!$C10+Q$8*Pakketten!$K10+RFF!Q$9*Pakketten!$S10</f>
        <v>44</v>
      </c>
      <c r="R46">
        <f>R$7*Pakketten!$C10+R$8*Pakketten!$K10+RFF!R$9*Pakketten!$S10</f>
        <v>44</v>
      </c>
      <c r="S46">
        <f>S$7*Pakketten!$C10+S$8*Pakketten!$K10+RFF!S$9*Pakketten!$S10</f>
        <v>48</v>
      </c>
      <c r="T46">
        <f>T$7*Pakketten!$C10+T$8*Pakketten!$K10+RFF!T$9*Pakketten!$S10</f>
        <v>56</v>
      </c>
      <c r="U46">
        <f>U$7*Pakketten!$C10+U$8*Pakketten!$K10+RFF!U$9*Pakketten!$S10</f>
        <v>60</v>
      </c>
      <c r="V46">
        <f>V$7*Pakketten!$C10+V$8*Pakketten!$K10+RFF!V$9*Pakketten!$S10</f>
        <v>68</v>
      </c>
      <c r="W46">
        <f>W$7*Pakketten!$C10+W$8*Pakketten!$K10+RFF!W$9*Pakketten!$S10</f>
        <v>68</v>
      </c>
      <c r="X46">
        <f>X$7*Pakketten!$C10+X$8*Pakketten!$K10+RFF!X$9*Pakketten!$S10</f>
        <v>68</v>
      </c>
      <c r="Y46">
        <f>Y$7*Pakketten!$C10+Y$8*Pakketten!$K10+RFF!Y$9*Pakketten!$S10</f>
        <v>72</v>
      </c>
      <c r="Z46">
        <f>Z$7*Pakketten!$C10+Z$8*Pakketten!$K10+RFF!Z$9*Pakketten!$S10</f>
        <v>80</v>
      </c>
      <c r="AA46">
        <f>AA$7*Pakketten!$C10+AA$8*Pakketten!$K10+RFF!AA$9*Pakketten!$S10</f>
        <v>80</v>
      </c>
      <c r="AB46">
        <f>AB$7*Pakketten!$C10+AB$8*Pakketten!$K10+RFF!AB$9*Pakketten!$S10</f>
        <v>80</v>
      </c>
      <c r="AC46" s="19">
        <f>SUM(Q46:AB46)</f>
        <v>768</v>
      </c>
      <c r="AD46">
        <f>AD$7*Pakketten!$C10+AD$8*Pakketten!$K10+RFF!AD$9*Pakketten!$S10</f>
        <v>112</v>
      </c>
      <c r="AE46">
        <f>AE$7*Pakketten!$C10+AE$8*Pakketten!$K10+RFF!AE$9*Pakketten!$S10</f>
        <v>112</v>
      </c>
      <c r="AF46">
        <f>AF$7*Pakketten!$C10+AF$8*Pakketten!$K10+RFF!AF$9*Pakketten!$S10</f>
        <v>116</v>
      </c>
      <c r="AG46">
        <f>AG$7*Pakketten!$C10+AG$8*Pakketten!$K10+RFF!AG$9*Pakketten!$S10</f>
        <v>124</v>
      </c>
      <c r="AH46">
        <f>AH$7*Pakketten!$C10+AH$8*Pakketten!$K10+RFF!AH$9*Pakketten!$S10</f>
        <v>128</v>
      </c>
      <c r="AI46">
        <f>AI$7*Pakketten!$C10+AI$8*Pakketten!$K10+RFF!AI$9*Pakketten!$S10</f>
        <v>136</v>
      </c>
      <c r="AJ46">
        <f>AJ$7*Pakketten!$C10+AJ$8*Pakketten!$K10+RFF!AJ$9*Pakketten!$S10</f>
        <v>136</v>
      </c>
      <c r="AK46">
        <f>AK$7*Pakketten!$C10+AK$8*Pakketten!$K10+RFF!AK$9*Pakketten!$S10</f>
        <v>136</v>
      </c>
      <c r="AL46">
        <f>AL$7*Pakketten!$C10+AL$8*Pakketten!$K10+RFF!AL$9*Pakketten!$S10</f>
        <v>140</v>
      </c>
      <c r="AM46">
        <f>AM$7*Pakketten!$C10+AM$8*Pakketten!$K10+RFF!AM$9*Pakketten!$S10</f>
        <v>148</v>
      </c>
      <c r="AN46">
        <f>AN$7*Pakketten!$C10+AN$8*Pakketten!$K10+RFF!AN$9*Pakketten!$S10</f>
        <v>148</v>
      </c>
      <c r="AO46">
        <f>AO$7*Pakketten!$C10+AO$8*Pakketten!$K10+RFF!AO$9*Pakketten!$S10</f>
        <v>148</v>
      </c>
      <c r="AP46" s="19">
        <f>SUM(AD46:AO46)</f>
        <v>1584</v>
      </c>
    </row>
    <row r="47" spans="1:42" outlineLevel="1" x14ac:dyDescent="0.3">
      <c r="A47" s="1">
        <f>ROW()</f>
        <v>47</v>
      </c>
      <c r="B47" s="4" t="s">
        <v>25</v>
      </c>
      <c r="C47" s="19"/>
      <c r="D47">
        <f>D$7*Pakketten!$C11+D$8*Pakketten!$K11+RFF!D$9*Pakketten!$S11</f>
        <v>0</v>
      </c>
      <c r="E47">
        <f>E$7*Pakketten!$C11+E$8*Pakketten!$K11+RFF!E$9*Pakketten!$S11</f>
        <v>0</v>
      </c>
      <c r="F47">
        <f>F$7*Pakketten!$C11+F$8*Pakketten!$K11+RFF!F$9*Pakketten!$S11</f>
        <v>0</v>
      </c>
      <c r="G47">
        <f>G$7*Pakketten!$C11+G$8*Pakketten!$K11+RFF!G$9*Pakketten!$S11</f>
        <v>8</v>
      </c>
      <c r="H47">
        <f>H$7*Pakketten!$C11+H$8*Pakketten!$K11+RFF!H$9*Pakketten!$S11</f>
        <v>8</v>
      </c>
      <c r="I47">
        <f>I$7*Pakketten!$C11+I$8*Pakketten!$K11+RFF!I$9*Pakketten!$S11</f>
        <v>8</v>
      </c>
      <c r="J47">
        <f>J$7*Pakketten!$C11+J$8*Pakketten!$K11+RFF!J$9*Pakketten!$S11</f>
        <v>32</v>
      </c>
      <c r="K47">
        <f>K$7*Pakketten!$C11+K$8*Pakketten!$K11+RFF!K$9*Pakketten!$S11</f>
        <v>32</v>
      </c>
      <c r="L47">
        <f>L$7*Pakketten!$C11+L$8*Pakketten!$K11+RFF!L$9*Pakketten!$S11</f>
        <v>32</v>
      </c>
      <c r="M47">
        <f>M$7*Pakketten!$C11+M$8*Pakketten!$K11+RFF!M$9*Pakketten!$S11</f>
        <v>56</v>
      </c>
      <c r="N47">
        <f>N$7*Pakketten!$C11+N$8*Pakketten!$K11+RFF!N$9*Pakketten!$S11</f>
        <v>56</v>
      </c>
      <c r="O47">
        <f>O$7*Pakketten!$C11+O$8*Pakketten!$K11+RFF!O$9*Pakketten!$S11</f>
        <v>56</v>
      </c>
      <c r="P47" s="19">
        <f t="shared" ref="P47:P55" si="105">SUM(D47:O47)</f>
        <v>288</v>
      </c>
      <c r="Q47">
        <f>Q$7*Pakketten!$C11+Q$8*Pakketten!$K11+RFF!Q$9*Pakketten!$S11</f>
        <v>88</v>
      </c>
      <c r="R47">
        <f>R$7*Pakketten!$C11+R$8*Pakketten!$K11+RFF!R$9*Pakketten!$S11</f>
        <v>88</v>
      </c>
      <c r="S47">
        <f>S$7*Pakketten!$C11+S$8*Pakketten!$K11+RFF!S$9*Pakketten!$S11</f>
        <v>96</v>
      </c>
      <c r="T47">
        <f>T$7*Pakketten!$C11+T$8*Pakketten!$K11+RFF!T$9*Pakketten!$S11</f>
        <v>112</v>
      </c>
      <c r="U47">
        <f>U$7*Pakketten!$C11+U$8*Pakketten!$K11+RFF!U$9*Pakketten!$S11</f>
        <v>120</v>
      </c>
      <c r="V47">
        <f>V$7*Pakketten!$C11+V$8*Pakketten!$K11+RFF!V$9*Pakketten!$S11</f>
        <v>136</v>
      </c>
      <c r="W47">
        <f>W$7*Pakketten!$C11+W$8*Pakketten!$K11+RFF!W$9*Pakketten!$S11</f>
        <v>136</v>
      </c>
      <c r="X47">
        <f>X$7*Pakketten!$C11+X$8*Pakketten!$K11+RFF!X$9*Pakketten!$S11</f>
        <v>136</v>
      </c>
      <c r="Y47">
        <f>Y$7*Pakketten!$C11+Y$8*Pakketten!$K11+RFF!Y$9*Pakketten!$S11</f>
        <v>144</v>
      </c>
      <c r="Z47">
        <f>Z$7*Pakketten!$C11+Z$8*Pakketten!$K11+RFF!Z$9*Pakketten!$S11</f>
        <v>160</v>
      </c>
      <c r="AA47">
        <f>AA$7*Pakketten!$C11+AA$8*Pakketten!$K11+RFF!AA$9*Pakketten!$S11</f>
        <v>160</v>
      </c>
      <c r="AB47">
        <f>AB$7*Pakketten!$C11+AB$8*Pakketten!$K11+RFF!AB$9*Pakketten!$S11</f>
        <v>160</v>
      </c>
      <c r="AC47" s="19">
        <f t="shared" ref="AC47:AC55" si="106">SUM(Q47:AB47)</f>
        <v>1536</v>
      </c>
      <c r="AD47">
        <f>AD$7*Pakketten!$C11+AD$8*Pakketten!$K11+RFF!AD$9*Pakketten!$S11</f>
        <v>224</v>
      </c>
      <c r="AE47">
        <f>AE$7*Pakketten!$C11+AE$8*Pakketten!$K11+RFF!AE$9*Pakketten!$S11</f>
        <v>224</v>
      </c>
      <c r="AF47">
        <f>AF$7*Pakketten!$C11+AF$8*Pakketten!$K11+RFF!AF$9*Pakketten!$S11</f>
        <v>232</v>
      </c>
      <c r="AG47">
        <f>AG$7*Pakketten!$C11+AG$8*Pakketten!$K11+RFF!AG$9*Pakketten!$S11</f>
        <v>248</v>
      </c>
      <c r="AH47">
        <f>AH$7*Pakketten!$C11+AH$8*Pakketten!$K11+RFF!AH$9*Pakketten!$S11</f>
        <v>256</v>
      </c>
      <c r="AI47">
        <f>AI$7*Pakketten!$C11+AI$8*Pakketten!$K11+RFF!AI$9*Pakketten!$S11</f>
        <v>272</v>
      </c>
      <c r="AJ47">
        <f>AJ$7*Pakketten!$C11+AJ$8*Pakketten!$K11+RFF!AJ$9*Pakketten!$S11</f>
        <v>272</v>
      </c>
      <c r="AK47">
        <f>AK$7*Pakketten!$C11+AK$8*Pakketten!$K11+RFF!AK$9*Pakketten!$S11</f>
        <v>272</v>
      </c>
      <c r="AL47">
        <f>AL$7*Pakketten!$C11+AL$8*Pakketten!$K11+RFF!AL$9*Pakketten!$S11</f>
        <v>280</v>
      </c>
      <c r="AM47">
        <f>AM$7*Pakketten!$C11+AM$8*Pakketten!$K11+RFF!AM$9*Pakketten!$S11</f>
        <v>296</v>
      </c>
      <c r="AN47">
        <f>AN$7*Pakketten!$C11+AN$8*Pakketten!$K11+RFF!AN$9*Pakketten!$S11</f>
        <v>296</v>
      </c>
      <c r="AO47">
        <f>AO$7*Pakketten!$C11+AO$8*Pakketten!$K11+RFF!AO$9*Pakketten!$S11</f>
        <v>296</v>
      </c>
      <c r="AP47" s="19">
        <f t="shared" ref="AP47:AP55" si="107">SUM(AD47:AO47)</f>
        <v>3168</v>
      </c>
    </row>
    <row r="48" spans="1:42" outlineLevel="1" x14ac:dyDescent="0.3">
      <c r="A48" s="1">
        <f>ROW()</f>
        <v>48</v>
      </c>
      <c r="B48" s="4" t="s">
        <v>26</v>
      </c>
      <c r="C48" s="19"/>
      <c r="D48">
        <f>D$7*Pakketten!$C12+D$8*Pakketten!$K12+RFF!D$9*Pakketten!$S12</f>
        <v>0</v>
      </c>
      <c r="E48">
        <f>E$7*Pakketten!$C12+E$8*Pakketten!$K12+RFF!E$9*Pakketten!$S12</f>
        <v>0</v>
      </c>
      <c r="F48">
        <f>F$7*Pakketten!$C12+F$8*Pakketten!$K12+RFF!F$9*Pakketten!$S12</f>
        <v>0</v>
      </c>
      <c r="G48">
        <f>G$7*Pakketten!$C12+G$8*Pakketten!$K12+RFF!G$9*Pakketten!$S12</f>
        <v>6</v>
      </c>
      <c r="H48">
        <f>H$7*Pakketten!$C12+H$8*Pakketten!$K12+RFF!H$9*Pakketten!$S12</f>
        <v>6</v>
      </c>
      <c r="I48">
        <f>I$7*Pakketten!$C12+I$8*Pakketten!$K12+RFF!I$9*Pakketten!$S12</f>
        <v>6</v>
      </c>
      <c r="J48">
        <f>J$7*Pakketten!$C12+J$8*Pakketten!$K12+RFF!J$9*Pakketten!$S12</f>
        <v>36</v>
      </c>
      <c r="K48">
        <f>K$7*Pakketten!$C12+K$8*Pakketten!$K12+RFF!K$9*Pakketten!$S12</f>
        <v>36</v>
      </c>
      <c r="L48">
        <f>L$7*Pakketten!$C12+L$8*Pakketten!$K12+RFF!L$9*Pakketten!$S12</f>
        <v>36</v>
      </c>
      <c r="M48">
        <f>M$7*Pakketten!$C12+M$8*Pakketten!$K12+RFF!M$9*Pakketten!$S12</f>
        <v>60</v>
      </c>
      <c r="N48">
        <f>N$7*Pakketten!$C12+N$8*Pakketten!$K12+RFF!N$9*Pakketten!$S12</f>
        <v>60</v>
      </c>
      <c r="O48">
        <f>O$7*Pakketten!$C12+O$8*Pakketten!$K12+RFF!O$9*Pakketten!$S12</f>
        <v>60</v>
      </c>
      <c r="P48" s="19">
        <f t="shared" si="105"/>
        <v>306</v>
      </c>
      <c r="Q48">
        <f>Q$7*Pakketten!$C12+Q$8*Pakketten!$K12+RFF!Q$9*Pakketten!$S12</f>
        <v>90</v>
      </c>
      <c r="R48">
        <f>R$7*Pakketten!$C12+R$8*Pakketten!$K12+RFF!R$9*Pakketten!$S12</f>
        <v>90</v>
      </c>
      <c r="S48">
        <f>S$7*Pakketten!$C12+S$8*Pakketten!$K12+RFF!S$9*Pakketten!$S12</f>
        <v>96</v>
      </c>
      <c r="T48">
        <f>T$7*Pakketten!$C12+T$8*Pakketten!$K12+RFF!T$9*Pakketten!$S12</f>
        <v>120</v>
      </c>
      <c r="U48">
        <f>U$7*Pakketten!$C12+U$8*Pakketten!$K12+RFF!U$9*Pakketten!$S12</f>
        <v>126</v>
      </c>
      <c r="V48">
        <f>V$7*Pakketten!$C12+V$8*Pakketten!$K12+RFF!V$9*Pakketten!$S12</f>
        <v>144</v>
      </c>
      <c r="W48">
        <f>W$7*Pakketten!$C12+W$8*Pakketten!$K12+RFF!W$9*Pakketten!$S12</f>
        <v>144</v>
      </c>
      <c r="X48">
        <f>X$7*Pakketten!$C12+X$8*Pakketten!$K12+RFF!X$9*Pakketten!$S12</f>
        <v>144</v>
      </c>
      <c r="Y48">
        <f>Y$7*Pakketten!$C12+Y$8*Pakketten!$K12+RFF!Y$9*Pakketten!$S12</f>
        <v>150</v>
      </c>
      <c r="Z48">
        <f>Z$7*Pakketten!$C12+Z$8*Pakketten!$K12+RFF!Z$9*Pakketten!$S12</f>
        <v>168</v>
      </c>
      <c r="AA48">
        <f>AA$7*Pakketten!$C12+AA$8*Pakketten!$K12+RFF!AA$9*Pakketten!$S12</f>
        <v>168</v>
      </c>
      <c r="AB48">
        <f>AB$7*Pakketten!$C12+AB$8*Pakketten!$K12+RFF!AB$9*Pakketten!$S12</f>
        <v>168</v>
      </c>
      <c r="AC48" s="19">
        <f t="shared" si="106"/>
        <v>1608</v>
      </c>
      <c r="AD48">
        <f>AD$7*Pakketten!$C12+AD$8*Pakketten!$K12+RFF!AD$9*Pakketten!$S12</f>
        <v>240</v>
      </c>
      <c r="AE48">
        <f>AE$7*Pakketten!$C12+AE$8*Pakketten!$K12+RFF!AE$9*Pakketten!$S12</f>
        <v>240</v>
      </c>
      <c r="AF48">
        <f>AF$7*Pakketten!$C12+AF$8*Pakketten!$K12+RFF!AF$9*Pakketten!$S12</f>
        <v>246</v>
      </c>
      <c r="AG48">
        <f>AG$7*Pakketten!$C12+AG$8*Pakketten!$K12+RFF!AG$9*Pakketten!$S12</f>
        <v>270</v>
      </c>
      <c r="AH48">
        <f>AH$7*Pakketten!$C12+AH$8*Pakketten!$K12+RFF!AH$9*Pakketten!$S12</f>
        <v>276</v>
      </c>
      <c r="AI48">
        <f>AI$7*Pakketten!$C12+AI$8*Pakketten!$K12+RFF!AI$9*Pakketten!$S12</f>
        <v>294</v>
      </c>
      <c r="AJ48">
        <f>AJ$7*Pakketten!$C12+AJ$8*Pakketten!$K12+RFF!AJ$9*Pakketten!$S12</f>
        <v>294</v>
      </c>
      <c r="AK48">
        <f>AK$7*Pakketten!$C12+AK$8*Pakketten!$K12+RFF!AK$9*Pakketten!$S12</f>
        <v>294</v>
      </c>
      <c r="AL48">
        <f>AL$7*Pakketten!$C12+AL$8*Pakketten!$K12+RFF!AL$9*Pakketten!$S12</f>
        <v>300</v>
      </c>
      <c r="AM48">
        <f>AM$7*Pakketten!$C12+AM$8*Pakketten!$K12+RFF!AM$9*Pakketten!$S12</f>
        <v>318</v>
      </c>
      <c r="AN48">
        <f>AN$7*Pakketten!$C12+AN$8*Pakketten!$K12+RFF!AN$9*Pakketten!$S12</f>
        <v>318</v>
      </c>
      <c r="AO48">
        <f>AO$7*Pakketten!$C12+AO$8*Pakketten!$K12+RFF!AO$9*Pakketten!$S12</f>
        <v>318</v>
      </c>
      <c r="AP48" s="19">
        <f t="shared" si="107"/>
        <v>3408</v>
      </c>
    </row>
    <row r="49" spans="1:42" outlineLevel="1" x14ac:dyDescent="0.3">
      <c r="A49" s="1">
        <f>ROW()</f>
        <v>49</v>
      </c>
      <c r="B49" s="4" t="s">
        <v>27</v>
      </c>
      <c r="C49" s="19"/>
      <c r="D49">
        <f>D$7*Pakketten!$C13+D$8*Pakketten!$K13+RFF!D$9*Pakketten!$S13</f>
        <v>0</v>
      </c>
      <c r="E49">
        <f>E$7*Pakketten!$C13+E$8*Pakketten!$K13+RFF!E$9*Pakketten!$S13</f>
        <v>0</v>
      </c>
      <c r="F49">
        <f>F$7*Pakketten!$C13+F$8*Pakketten!$K13+RFF!F$9*Pakketten!$S13</f>
        <v>0</v>
      </c>
      <c r="G49">
        <f>G$7*Pakketten!$C13+G$8*Pakketten!$K13+RFF!G$9*Pakketten!$S13</f>
        <v>6</v>
      </c>
      <c r="H49">
        <f>H$7*Pakketten!$C13+H$8*Pakketten!$K13+RFF!H$9*Pakketten!$S13</f>
        <v>6</v>
      </c>
      <c r="I49">
        <f>I$7*Pakketten!$C13+I$8*Pakketten!$K13+RFF!I$9*Pakketten!$S13</f>
        <v>6</v>
      </c>
      <c r="J49">
        <f>J$7*Pakketten!$C13+J$8*Pakketten!$K13+RFF!J$9*Pakketten!$S13</f>
        <v>36</v>
      </c>
      <c r="K49">
        <f>K$7*Pakketten!$C13+K$8*Pakketten!$K13+RFF!K$9*Pakketten!$S13</f>
        <v>36</v>
      </c>
      <c r="L49">
        <f>L$7*Pakketten!$C13+L$8*Pakketten!$K13+RFF!L$9*Pakketten!$S13</f>
        <v>36</v>
      </c>
      <c r="M49">
        <f>M$7*Pakketten!$C13+M$8*Pakketten!$K13+RFF!M$9*Pakketten!$S13</f>
        <v>60</v>
      </c>
      <c r="N49">
        <f>N$7*Pakketten!$C13+N$8*Pakketten!$K13+RFF!N$9*Pakketten!$S13</f>
        <v>60</v>
      </c>
      <c r="O49">
        <f>O$7*Pakketten!$C13+O$8*Pakketten!$K13+RFF!O$9*Pakketten!$S13</f>
        <v>60</v>
      </c>
      <c r="P49" s="19">
        <f t="shared" si="105"/>
        <v>306</v>
      </c>
      <c r="Q49">
        <f>Q$7*Pakketten!$C13+Q$8*Pakketten!$K13+RFF!Q$9*Pakketten!$S13</f>
        <v>90</v>
      </c>
      <c r="R49">
        <f>R$7*Pakketten!$C13+R$8*Pakketten!$K13+RFF!R$9*Pakketten!$S13</f>
        <v>90</v>
      </c>
      <c r="S49">
        <f>S$7*Pakketten!$C13+S$8*Pakketten!$K13+RFF!S$9*Pakketten!$S13</f>
        <v>96</v>
      </c>
      <c r="T49">
        <f>T$7*Pakketten!$C13+T$8*Pakketten!$K13+RFF!T$9*Pakketten!$S13</f>
        <v>120</v>
      </c>
      <c r="U49">
        <f>U$7*Pakketten!$C13+U$8*Pakketten!$K13+RFF!U$9*Pakketten!$S13</f>
        <v>126</v>
      </c>
      <c r="V49">
        <f>V$7*Pakketten!$C13+V$8*Pakketten!$K13+RFF!V$9*Pakketten!$S13</f>
        <v>144</v>
      </c>
      <c r="W49">
        <f>W$7*Pakketten!$C13+W$8*Pakketten!$K13+RFF!W$9*Pakketten!$S13</f>
        <v>144</v>
      </c>
      <c r="X49">
        <f>X$7*Pakketten!$C13+X$8*Pakketten!$K13+RFF!X$9*Pakketten!$S13</f>
        <v>144</v>
      </c>
      <c r="Y49">
        <f>Y$7*Pakketten!$C13+Y$8*Pakketten!$K13+RFF!Y$9*Pakketten!$S13</f>
        <v>150</v>
      </c>
      <c r="Z49">
        <f>Z$7*Pakketten!$C13+Z$8*Pakketten!$K13+RFF!Z$9*Pakketten!$S13</f>
        <v>168</v>
      </c>
      <c r="AA49">
        <f>AA$7*Pakketten!$C13+AA$8*Pakketten!$K13+RFF!AA$9*Pakketten!$S13</f>
        <v>168</v>
      </c>
      <c r="AB49">
        <f>AB$7*Pakketten!$C13+AB$8*Pakketten!$K13+RFF!AB$9*Pakketten!$S13</f>
        <v>168</v>
      </c>
      <c r="AC49" s="19">
        <f t="shared" si="106"/>
        <v>1608</v>
      </c>
      <c r="AD49">
        <f>AD$7*Pakketten!$C13+AD$8*Pakketten!$K13+RFF!AD$9*Pakketten!$S13</f>
        <v>240</v>
      </c>
      <c r="AE49">
        <f>AE$7*Pakketten!$C13+AE$8*Pakketten!$K13+RFF!AE$9*Pakketten!$S13</f>
        <v>240</v>
      </c>
      <c r="AF49">
        <f>AF$7*Pakketten!$C13+AF$8*Pakketten!$K13+RFF!AF$9*Pakketten!$S13</f>
        <v>246</v>
      </c>
      <c r="AG49">
        <f>AG$7*Pakketten!$C13+AG$8*Pakketten!$K13+RFF!AG$9*Pakketten!$S13</f>
        <v>270</v>
      </c>
      <c r="AH49">
        <f>AH$7*Pakketten!$C13+AH$8*Pakketten!$K13+RFF!AH$9*Pakketten!$S13</f>
        <v>276</v>
      </c>
      <c r="AI49">
        <f>AI$7*Pakketten!$C13+AI$8*Pakketten!$K13+RFF!AI$9*Pakketten!$S13</f>
        <v>294</v>
      </c>
      <c r="AJ49">
        <f>AJ$7*Pakketten!$C13+AJ$8*Pakketten!$K13+RFF!AJ$9*Pakketten!$S13</f>
        <v>294</v>
      </c>
      <c r="AK49">
        <f>AK$7*Pakketten!$C13+AK$8*Pakketten!$K13+RFF!AK$9*Pakketten!$S13</f>
        <v>294</v>
      </c>
      <c r="AL49">
        <f>AL$7*Pakketten!$C13+AL$8*Pakketten!$K13+RFF!AL$9*Pakketten!$S13</f>
        <v>300</v>
      </c>
      <c r="AM49">
        <f>AM$7*Pakketten!$C13+AM$8*Pakketten!$K13+RFF!AM$9*Pakketten!$S13</f>
        <v>318</v>
      </c>
      <c r="AN49">
        <f>AN$7*Pakketten!$C13+AN$8*Pakketten!$K13+RFF!AN$9*Pakketten!$S13</f>
        <v>318</v>
      </c>
      <c r="AO49">
        <f>AO$7*Pakketten!$C13+AO$8*Pakketten!$K13+RFF!AO$9*Pakketten!$S13</f>
        <v>318</v>
      </c>
      <c r="AP49" s="19">
        <f t="shared" si="107"/>
        <v>3408</v>
      </c>
    </row>
    <row r="50" spans="1:42" outlineLevel="1" x14ac:dyDescent="0.3">
      <c r="A50" s="1">
        <f>ROW()</f>
        <v>50</v>
      </c>
      <c r="B50" s="4" t="s">
        <v>28</v>
      </c>
      <c r="C50" s="19"/>
      <c r="D50">
        <f>D$7*Pakketten!$C14+D$8*Pakketten!$K14+RFF!D$9*Pakketten!$S14</f>
        <v>0</v>
      </c>
      <c r="E50">
        <f>E$7*Pakketten!$C14+E$8*Pakketten!$K14+RFF!E$9*Pakketten!$S14</f>
        <v>0</v>
      </c>
      <c r="F50">
        <f>F$7*Pakketten!$C14+F$8*Pakketten!$K14+RFF!F$9*Pakketten!$S14</f>
        <v>0</v>
      </c>
      <c r="G50">
        <f>G$7*Pakketten!$C14+G$8*Pakketten!$K14+RFF!G$9*Pakketten!$S14</f>
        <v>8</v>
      </c>
      <c r="H50">
        <f>H$7*Pakketten!$C14+H$8*Pakketten!$K14+RFF!H$9*Pakketten!$S14</f>
        <v>8</v>
      </c>
      <c r="I50">
        <f>I$7*Pakketten!$C14+I$8*Pakketten!$K14+RFF!I$9*Pakketten!$S14</f>
        <v>8</v>
      </c>
      <c r="J50">
        <f>J$7*Pakketten!$C14+J$8*Pakketten!$K14+RFF!J$9*Pakketten!$S14</f>
        <v>40</v>
      </c>
      <c r="K50">
        <f>K$7*Pakketten!$C14+K$8*Pakketten!$K14+RFF!K$9*Pakketten!$S14</f>
        <v>40</v>
      </c>
      <c r="L50">
        <f>L$7*Pakketten!$C14+L$8*Pakketten!$K14+RFF!L$9*Pakketten!$S14</f>
        <v>40</v>
      </c>
      <c r="M50">
        <f>M$7*Pakketten!$C14+M$8*Pakketten!$K14+RFF!M$9*Pakketten!$S14</f>
        <v>66</v>
      </c>
      <c r="N50">
        <f>N$7*Pakketten!$C14+N$8*Pakketten!$K14+RFF!N$9*Pakketten!$S14</f>
        <v>66</v>
      </c>
      <c r="O50">
        <f>O$7*Pakketten!$C14+O$8*Pakketten!$K14+RFF!O$9*Pakketten!$S14</f>
        <v>66</v>
      </c>
      <c r="P50" s="19">
        <f t="shared" si="105"/>
        <v>342</v>
      </c>
      <c r="Q50">
        <f>Q$7*Pakketten!$C14+Q$8*Pakketten!$K14+RFF!Q$9*Pakketten!$S14</f>
        <v>100</v>
      </c>
      <c r="R50">
        <f>R$7*Pakketten!$C14+R$8*Pakketten!$K14+RFF!R$9*Pakketten!$S14</f>
        <v>100</v>
      </c>
      <c r="S50">
        <f>S$7*Pakketten!$C14+S$8*Pakketten!$K14+RFF!S$9*Pakketten!$S14</f>
        <v>108</v>
      </c>
      <c r="T50">
        <f>T$7*Pakketten!$C14+T$8*Pakketten!$K14+RFF!T$9*Pakketten!$S14</f>
        <v>132</v>
      </c>
      <c r="U50">
        <f>U$7*Pakketten!$C14+U$8*Pakketten!$K14+RFF!U$9*Pakketten!$S14</f>
        <v>140</v>
      </c>
      <c r="V50">
        <f>V$7*Pakketten!$C14+V$8*Pakketten!$K14+RFF!V$9*Pakketten!$S14</f>
        <v>158</v>
      </c>
      <c r="W50">
        <f>W$7*Pakketten!$C14+W$8*Pakketten!$K14+RFF!W$9*Pakketten!$S14</f>
        <v>158</v>
      </c>
      <c r="X50">
        <f>X$7*Pakketten!$C14+X$8*Pakketten!$K14+RFF!X$9*Pakketten!$S14</f>
        <v>158</v>
      </c>
      <c r="Y50">
        <f>Y$7*Pakketten!$C14+Y$8*Pakketten!$K14+RFF!Y$9*Pakketten!$S14</f>
        <v>166</v>
      </c>
      <c r="Z50">
        <f>Z$7*Pakketten!$C14+Z$8*Pakketten!$K14+RFF!Z$9*Pakketten!$S14</f>
        <v>184</v>
      </c>
      <c r="AA50">
        <f>AA$7*Pakketten!$C14+AA$8*Pakketten!$K14+RFF!AA$9*Pakketten!$S14</f>
        <v>184</v>
      </c>
      <c r="AB50">
        <f>AB$7*Pakketten!$C14+AB$8*Pakketten!$K14+RFF!AB$9*Pakketten!$S14</f>
        <v>184</v>
      </c>
      <c r="AC50" s="19">
        <f t="shared" si="106"/>
        <v>1772</v>
      </c>
      <c r="AD50">
        <f>AD$7*Pakketten!$C14+AD$8*Pakketten!$K14+RFF!AD$9*Pakketten!$S14</f>
        <v>260</v>
      </c>
      <c r="AE50">
        <f>AE$7*Pakketten!$C14+AE$8*Pakketten!$K14+RFF!AE$9*Pakketten!$S14</f>
        <v>260</v>
      </c>
      <c r="AF50">
        <f>AF$7*Pakketten!$C14+AF$8*Pakketten!$K14+RFF!AF$9*Pakketten!$S14</f>
        <v>268</v>
      </c>
      <c r="AG50">
        <f>AG$7*Pakketten!$C14+AG$8*Pakketten!$K14+RFF!AG$9*Pakketten!$S14</f>
        <v>292</v>
      </c>
      <c r="AH50">
        <f>AH$7*Pakketten!$C14+AH$8*Pakketten!$K14+RFF!AH$9*Pakketten!$S14</f>
        <v>300</v>
      </c>
      <c r="AI50">
        <f>AI$7*Pakketten!$C14+AI$8*Pakketten!$K14+RFF!AI$9*Pakketten!$S14</f>
        <v>318</v>
      </c>
      <c r="AJ50">
        <f>AJ$7*Pakketten!$C14+AJ$8*Pakketten!$K14+RFF!AJ$9*Pakketten!$S14</f>
        <v>318</v>
      </c>
      <c r="AK50">
        <f>AK$7*Pakketten!$C14+AK$8*Pakketten!$K14+RFF!AK$9*Pakketten!$S14</f>
        <v>318</v>
      </c>
      <c r="AL50">
        <f>AL$7*Pakketten!$C14+AL$8*Pakketten!$K14+RFF!AL$9*Pakketten!$S14</f>
        <v>326</v>
      </c>
      <c r="AM50">
        <f>AM$7*Pakketten!$C14+AM$8*Pakketten!$K14+RFF!AM$9*Pakketten!$S14</f>
        <v>344</v>
      </c>
      <c r="AN50">
        <f>AN$7*Pakketten!$C14+AN$8*Pakketten!$K14+RFF!AN$9*Pakketten!$S14</f>
        <v>344</v>
      </c>
      <c r="AO50">
        <f>AO$7*Pakketten!$C14+AO$8*Pakketten!$K14+RFF!AO$9*Pakketten!$S14</f>
        <v>344</v>
      </c>
      <c r="AP50" s="19">
        <f t="shared" si="107"/>
        <v>3692</v>
      </c>
    </row>
    <row r="51" spans="1:42" outlineLevel="1" x14ac:dyDescent="0.3">
      <c r="A51" s="1">
        <f>ROW()</f>
        <v>51</v>
      </c>
      <c r="B51" s="4" t="s">
        <v>211</v>
      </c>
      <c r="C51" s="19"/>
      <c r="D51">
        <f>D$7*Pakketten!$C15+D$8*Pakketten!$K15+RFF!D$9*Pakketten!$S15</f>
        <v>0</v>
      </c>
      <c r="E51">
        <f>E$7*Pakketten!$C15+E$8*Pakketten!$K15+RFF!E$9*Pakketten!$S15</f>
        <v>0</v>
      </c>
      <c r="F51">
        <f>F$7*Pakketten!$C15+F$8*Pakketten!$K15+RFF!F$9*Pakketten!$S15</f>
        <v>0</v>
      </c>
      <c r="G51">
        <f>G$7*Pakketten!$C15+G$8*Pakketten!$K15+RFF!G$9*Pakketten!$S15</f>
        <v>12</v>
      </c>
      <c r="H51">
        <f>H$7*Pakketten!$C15+H$8*Pakketten!$K15+RFF!H$9*Pakketten!$S15</f>
        <v>12</v>
      </c>
      <c r="I51">
        <f>I$7*Pakketten!$C15+I$8*Pakketten!$K15+RFF!I$9*Pakketten!$S15</f>
        <v>12</v>
      </c>
      <c r="J51">
        <f>J$7*Pakketten!$C15+J$8*Pakketten!$K15+RFF!J$9*Pakketten!$S15</f>
        <v>42</v>
      </c>
      <c r="K51">
        <f>K$7*Pakketten!$C15+K$8*Pakketten!$K15+RFF!K$9*Pakketten!$S15</f>
        <v>42</v>
      </c>
      <c r="L51">
        <f>L$7*Pakketten!$C15+L$8*Pakketten!$K15+RFF!L$9*Pakketten!$S15</f>
        <v>42</v>
      </c>
      <c r="M51">
        <f>M$7*Pakketten!$C15+M$8*Pakketten!$K15+RFF!M$9*Pakketten!$S15</f>
        <v>66</v>
      </c>
      <c r="N51">
        <f>N$7*Pakketten!$C15+N$8*Pakketten!$K15+RFF!N$9*Pakketten!$S15</f>
        <v>66</v>
      </c>
      <c r="O51">
        <f>O$7*Pakketten!$C15+O$8*Pakketten!$K15+RFF!O$9*Pakketten!$S15</f>
        <v>66</v>
      </c>
      <c r="P51" s="19">
        <f t="shared" si="105"/>
        <v>360</v>
      </c>
      <c r="Q51">
        <f>Q$7*Pakketten!$C15+Q$8*Pakketten!$K15+RFF!Q$9*Pakketten!$S15</f>
        <v>102</v>
      </c>
      <c r="R51">
        <f>R$7*Pakketten!$C15+R$8*Pakketten!$K15+RFF!R$9*Pakketten!$S15</f>
        <v>102</v>
      </c>
      <c r="S51">
        <f>S$7*Pakketten!$C15+S$8*Pakketten!$K15+RFF!S$9*Pakketten!$S15</f>
        <v>114</v>
      </c>
      <c r="T51">
        <f>T$7*Pakketten!$C15+T$8*Pakketten!$K15+RFF!T$9*Pakketten!$S15</f>
        <v>132</v>
      </c>
      <c r="U51">
        <f>U$7*Pakketten!$C15+U$8*Pakketten!$K15+RFF!U$9*Pakketten!$S15</f>
        <v>144</v>
      </c>
      <c r="V51">
        <f>V$7*Pakketten!$C15+V$8*Pakketten!$K15+RFF!V$9*Pakketten!$S15</f>
        <v>156</v>
      </c>
      <c r="W51">
        <f>W$7*Pakketten!$C15+W$8*Pakketten!$K15+RFF!W$9*Pakketten!$S15</f>
        <v>156</v>
      </c>
      <c r="X51">
        <f>X$7*Pakketten!$C15+X$8*Pakketten!$K15+RFF!X$9*Pakketten!$S15</f>
        <v>156</v>
      </c>
      <c r="Y51">
        <f>Y$7*Pakketten!$C15+Y$8*Pakketten!$K15+RFF!Y$9*Pakketten!$S15</f>
        <v>168</v>
      </c>
      <c r="Z51">
        <f>Z$7*Pakketten!$C15+Z$8*Pakketten!$K15+RFF!Z$9*Pakketten!$S15</f>
        <v>180</v>
      </c>
      <c r="AA51">
        <f>AA$7*Pakketten!$C15+AA$8*Pakketten!$K15+RFF!AA$9*Pakketten!$S15</f>
        <v>180</v>
      </c>
      <c r="AB51">
        <f>AB$7*Pakketten!$C15+AB$8*Pakketten!$K15+RFF!AB$9*Pakketten!$S15</f>
        <v>180</v>
      </c>
      <c r="AC51" s="19">
        <f t="shared" si="106"/>
        <v>1770</v>
      </c>
      <c r="AD51">
        <f>AD$7*Pakketten!$C15+AD$8*Pakketten!$K15+RFF!AD$9*Pakketten!$S15</f>
        <v>246</v>
      </c>
      <c r="AE51">
        <f>AE$7*Pakketten!$C15+AE$8*Pakketten!$K15+RFF!AE$9*Pakketten!$S15</f>
        <v>246</v>
      </c>
      <c r="AF51">
        <f>AF$7*Pakketten!$C15+AF$8*Pakketten!$K15+RFF!AF$9*Pakketten!$S15</f>
        <v>258</v>
      </c>
      <c r="AG51">
        <f>AG$7*Pakketten!$C15+AG$8*Pakketten!$K15+RFF!AG$9*Pakketten!$S15</f>
        <v>276</v>
      </c>
      <c r="AH51">
        <f>AH$7*Pakketten!$C15+AH$8*Pakketten!$K15+RFF!AH$9*Pakketten!$S15</f>
        <v>288</v>
      </c>
      <c r="AI51">
        <f>AI$7*Pakketten!$C15+AI$8*Pakketten!$K15+RFF!AI$9*Pakketten!$S15</f>
        <v>300</v>
      </c>
      <c r="AJ51">
        <f>AJ$7*Pakketten!$C15+AJ$8*Pakketten!$K15+RFF!AJ$9*Pakketten!$S15</f>
        <v>300</v>
      </c>
      <c r="AK51">
        <f>AK$7*Pakketten!$C15+AK$8*Pakketten!$K15+RFF!AK$9*Pakketten!$S15</f>
        <v>300</v>
      </c>
      <c r="AL51">
        <f>AL$7*Pakketten!$C15+AL$8*Pakketten!$K15+RFF!AL$9*Pakketten!$S15</f>
        <v>312</v>
      </c>
      <c r="AM51">
        <f>AM$7*Pakketten!$C15+AM$8*Pakketten!$K15+RFF!AM$9*Pakketten!$S15</f>
        <v>324</v>
      </c>
      <c r="AN51">
        <f>AN$7*Pakketten!$C15+AN$8*Pakketten!$K15+RFF!AN$9*Pakketten!$S15</f>
        <v>324</v>
      </c>
      <c r="AO51">
        <f>AO$7*Pakketten!$C15+AO$8*Pakketten!$K15+RFF!AO$9*Pakketten!$S15</f>
        <v>324</v>
      </c>
      <c r="AP51" s="19">
        <f t="shared" si="107"/>
        <v>3498</v>
      </c>
    </row>
    <row r="52" spans="1:42" outlineLevel="1" x14ac:dyDescent="0.3">
      <c r="A52" s="1">
        <f>ROW()</f>
        <v>52</v>
      </c>
      <c r="B52" s="4" t="s">
        <v>29</v>
      </c>
      <c r="C52" s="19"/>
      <c r="D52">
        <f>D$7*Pakketten!$C16+D$8*Pakketten!$K16+RFF!D$9*Pakketten!$S16</f>
        <v>0</v>
      </c>
      <c r="E52">
        <f>E$7*Pakketten!$C16+E$8*Pakketten!$K16+RFF!E$9*Pakketten!$S16</f>
        <v>0</v>
      </c>
      <c r="F52">
        <f>F$7*Pakketten!$C16+F$8*Pakketten!$K16+RFF!F$9*Pakketten!$S16</f>
        <v>0</v>
      </c>
      <c r="G52">
        <f>G$7*Pakketten!$C16+G$8*Pakketten!$K16+RFF!G$9*Pakketten!$S16</f>
        <v>0</v>
      </c>
      <c r="H52">
        <f>H$7*Pakketten!$C16+H$8*Pakketten!$K16+RFF!H$9*Pakketten!$S16</f>
        <v>0</v>
      </c>
      <c r="I52">
        <f>I$7*Pakketten!$C16+I$8*Pakketten!$K16+RFF!I$9*Pakketten!$S16</f>
        <v>0</v>
      </c>
      <c r="J52">
        <f>J$7*Pakketten!$C16+J$8*Pakketten!$K16+RFF!J$9*Pakketten!$S16</f>
        <v>8</v>
      </c>
      <c r="K52">
        <f>K$7*Pakketten!$C16+K$8*Pakketten!$K16+RFF!K$9*Pakketten!$S16</f>
        <v>8</v>
      </c>
      <c r="L52">
        <f>L$7*Pakketten!$C16+L$8*Pakketten!$K16+RFF!L$9*Pakketten!$S16</f>
        <v>8</v>
      </c>
      <c r="M52">
        <f>M$7*Pakketten!$C16+M$8*Pakketten!$K16+RFF!M$9*Pakketten!$S16</f>
        <v>16</v>
      </c>
      <c r="N52">
        <f>N$7*Pakketten!$C16+N$8*Pakketten!$K16+RFF!N$9*Pakketten!$S16</f>
        <v>16</v>
      </c>
      <c r="O52">
        <f>O$7*Pakketten!$C16+O$8*Pakketten!$K16+RFF!O$9*Pakketten!$S16</f>
        <v>16</v>
      </c>
      <c r="P52" s="19">
        <f t="shared" si="105"/>
        <v>72</v>
      </c>
      <c r="Q52">
        <f>Q$7*Pakketten!$C16+Q$8*Pakketten!$K16+RFF!Q$9*Pakketten!$S16</f>
        <v>24</v>
      </c>
      <c r="R52">
        <f>R$7*Pakketten!$C16+R$8*Pakketten!$K16+RFF!R$9*Pakketten!$S16</f>
        <v>24</v>
      </c>
      <c r="S52">
        <f>S$7*Pakketten!$C16+S$8*Pakketten!$K16+RFF!S$9*Pakketten!$S16</f>
        <v>24</v>
      </c>
      <c r="T52">
        <f>T$7*Pakketten!$C16+T$8*Pakketten!$K16+RFF!T$9*Pakketten!$S16</f>
        <v>32</v>
      </c>
      <c r="U52">
        <f>U$7*Pakketten!$C16+U$8*Pakketten!$K16+RFF!U$9*Pakketten!$S16</f>
        <v>32</v>
      </c>
      <c r="V52">
        <f>V$7*Pakketten!$C16+V$8*Pakketten!$K16+RFF!V$9*Pakketten!$S16</f>
        <v>40</v>
      </c>
      <c r="W52">
        <f>W$7*Pakketten!$C16+W$8*Pakketten!$K16+RFF!W$9*Pakketten!$S16</f>
        <v>40</v>
      </c>
      <c r="X52">
        <f>X$7*Pakketten!$C16+X$8*Pakketten!$K16+RFF!X$9*Pakketten!$S16</f>
        <v>40</v>
      </c>
      <c r="Y52">
        <f>Y$7*Pakketten!$C16+Y$8*Pakketten!$K16+RFF!Y$9*Pakketten!$S16</f>
        <v>40</v>
      </c>
      <c r="Z52">
        <f>Z$7*Pakketten!$C16+Z$8*Pakketten!$K16+RFF!Z$9*Pakketten!$S16</f>
        <v>48</v>
      </c>
      <c r="AA52">
        <f>AA$7*Pakketten!$C16+AA$8*Pakketten!$K16+RFF!AA$9*Pakketten!$S16</f>
        <v>48</v>
      </c>
      <c r="AB52">
        <f>AB$7*Pakketten!$C16+AB$8*Pakketten!$K16+RFF!AB$9*Pakketten!$S16</f>
        <v>48</v>
      </c>
      <c r="AC52" s="19">
        <f t="shared" si="106"/>
        <v>440</v>
      </c>
      <c r="AD52">
        <f>AD$7*Pakketten!$C16+AD$8*Pakketten!$K16+RFF!AD$9*Pakketten!$S16</f>
        <v>72</v>
      </c>
      <c r="AE52">
        <f>AE$7*Pakketten!$C16+AE$8*Pakketten!$K16+RFF!AE$9*Pakketten!$S16</f>
        <v>72</v>
      </c>
      <c r="AF52">
        <f>AF$7*Pakketten!$C16+AF$8*Pakketten!$K16+RFF!AF$9*Pakketten!$S16</f>
        <v>72</v>
      </c>
      <c r="AG52">
        <f>AG$7*Pakketten!$C16+AG$8*Pakketten!$K16+RFF!AG$9*Pakketten!$S16</f>
        <v>80</v>
      </c>
      <c r="AH52">
        <f>AH$7*Pakketten!$C16+AH$8*Pakketten!$K16+RFF!AH$9*Pakketten!$S16</f>
        <v>80</v>
      </c>
      <c r="AI52">
        <f>AI$7*Pakketten!$C16+AI$8*Pakketten!$K16+RFF!AI$9*Pakketten!$S16</f>
        <v>88</v>
      </c>
      <c r="AJ52">
        <f>AJ$7*Pakketten!$C16+AJ$8*Pakketten!$K16+RFF!AJ$9*Pakketten!$S16</f>
        <v>88</v>
      </c>
      <c r="AK52">
        <f>AK$7*Pakketten!$C16+AK$8*Pakketten!$K16+RFF!AK$9*Pakketten!$S16</f>
        <v>88</v>
      </c>
      <c r="AL52">
        <f>AL$7*Pakketten!$C16+AL$8*Pakketten!$K16+RFF!AL$9*Pakketten!$S16</f>
        <v>88</v>
      </c>
      <c r="AM52">
        <f>AM$7*Pakketten!$C16+AM$8*Pakketten!$K16+RFF!AM$9*Pakketten!$S16</f>
        <v>96</v>
      </c>
      <c r="AN52">
        <f>AN$7*Pakketten!$C16+AN$8*Pakketten!$K16+RFF!AN$9*Pakketten!$S16</f>
        <v>96</v>
      </c>
      <c r="AO52">
        <f>AO$7*Pakketten!$C16+AO$8*Pakketten!$K16+RFF!AO$9*Pakketten!$S16</f>
        <v>96</v>
      </c>
      <c r="AP52" s="19">
        <f t="shared" si="107"/>
        <v>1016</v>
      </c>
    </row>
    <row r="53" spans="1:42" outlineLevel="1" x14ac:dyDescent="0.3">
      <c r="A53" s="1">
        <f>ROW()</f>
        <v>53</v>
      </c>
      <c r="B53" s="4" t="s">
        <v>30</v>
      </c>
      <c r="C53" s="19"/>
      <c r="D53">
        <f>D$7*Pakketten!$C17+D$8*Pakketten!$K17+RFF!D$9*Pakketten!$S17</f>
        <v>0</v>
      </c>
      <c r="E53">
        <f>E$7*Pakketten!$C17+E$8*Pakketten!$K17+RFF!E$9*Pakketten!$S17</f>
        <v>0</v>
      </c>
      <c r="F53">
        <f>F$7*Pakketten!$C17+F$8*Pakketten!$K17+RFF!F$9*Pakketten!$S17</f>
        <v>0</v>
      </c>
      <c r="G53">
        <f>G$7*Pakketten!$C17+G$8*Pakketten!$K17+RFF!G$9*Pakketten!$S17</f>
        <v>20</v>
      </c>
      <c r="H53">
        <f>H$7*Pakketten!$C17+H$8*Pakketten!$K17+RFF!H$9*Pakketten!$S17</f>
        <v>20</v>
      </c>
      <c r="I53">
        <f>I$7*Pakketten!$C17+I$8*Pakketten!$K17+RFF!I$9*Pakketten!$S17</f>
        <v>20</v>
      </c>
      <c r="J53">
        <f>J$7*Pakketten!$C17+J$8*Pakketten!$K17+RFF!J$9*Pakketten!$S17</f>
        <v>70</v>
      </c>
      <c r="K53">
        <f>K$7*Pakketten!$C17+K$8*Pakketten!$K17+RFF!K$9*Pakketten!$S17</f>
        <v>70</v>
      </c>
      <c r="L53">
        <f>L$7*Pakketten!$C17+L$8*Pakketten!$K17+RFF!L$9*Pakketten!$S17</f>
        <v>70</v>
      </c>
      <c r="M53">
        <f>M$7*Pakketten!$C17+M$8*Pakketten!$K17+RFF!M$9*Pakketten!$S17</f>
        <v>120</v>
      </c>
      <c r="N53">
        <f>N$7*Pakketten!$C17+N$8*Pakketten!$K17+RFF!N$9*Pakketten!$S17</f>
        <v>120</v>
      </c>
      <c r="O53">
        <f>O$7*Pakketten!$C17+O$8*Pakketten!$K17+RFF!O$9*Pakketten!$S17</f>
        <v>120</v>
      </c>
      <c r="P53" s="19">
        <f t="shared" si="105"/>
        <v>630</v>
      </c>
      <c r="Q53">
        <f>Q$7*Pakketten!$C17+Q$8*Pakketten!$K17+RFF!Q$9*Pakketten!$S17</f>
        <v>190</v>
      </c>
      <c r="R53">
        <f>R$7*Pakketten!$C17+R$8*Pakketten!$K17+RFF!R$9*Pakketten!$S17</f>
        <v>190</v>
      </c>
      <c r="S53">
        <f>S$7*Pakketten!$C17+S$8*Pakketten!$K17+RFF!S$9*Pakketten!$S17</f>
        <v>210</v>
      </c>
      <c r="T53">
        <f>T$7*Pakketten!$C17+T$8*Pakketten!$K17+RFF!T$9*Pakketten!$S17</f>
        <v>240</v>
      </c>
      <c r="U53">
        <f>U$7*Pakketten!$C17+U$8*Pakketten!$K17+RFF!U$9*Pakketten!$S17</f>
        <v>260</v>
      </c>
      <c r="V53">
        <f>V$7*Pakketten!$C17+V$8*Pakketten!$K17+RFF!V$9*Pakketten!$S17</f>
        <v>290</v>
      </c>
      <c r="W53">
        <f>W$7*Pakketten!$C17+W$8*Pakketten!$K17+RFF!W$9*Pakketten!$S17</f>
        <v>290</v>
      </c>
      <c r="X53">
        <f>X$7*Pakketten!$C17+X$8*Pakketten!$K17+RFF!X$9*Pakketten!$S17</f>
        <v>290</v>
      </c>
      <c r="Y53">
        <f>Y$7*Pakketten!$C17+Y$8*Pakketten!$K17+RFF!Y$9*Pakketten!$S17</f>
        <v>310</v>
      </c>
      <c r="Z53">
        <f>Z$7*Pakketten!$C17+Z$8*Pakketten!$K17+RFF!Z$9*Pakketten!$S17</f>
        <v>340</v>
      </c>
      <c r="AA53">
        <f>AA$7*Pakketten!$C17+AA$8*Pakketten!$K17+RFF!AA$9*Pakketten!$S17</f>
        <v>340</v>
      </c>
      <c r="AB53">
        <f>AB$7*Pakketten!$C17+AB$8*Pakketten!$K17+RFF!AB$9*Pakketten!$S17</f>
        <v>340</v>
      </c>
      <c r="AC53" s="19">
        <f t="shared" si="106"/>
        <v>3290</v>
      </c>
      <c r="AD53">
        <f>AD$7*Pakketten!$C17+AD$8*Pakketten!$K17+RFF!AD$9*Pakketten!$S17</f>
        <v>470</v>
      </c>
      <c r="AE53">
        <f>AE$7*Pakketten!$C17+AE$8*Pakketten!$K17+RFF!AE$9*Pakketten!$S17</f>
        <v>470</v>
      </c>
      <c r="AF53">
        <f>AF$7*Pakketten!$C17+AF$8*Pakketten!$K17+RFF!AF$9*Pakketten!$S17</f>
        <v>490</v>
      </c>
      <c r="AG53">
        <f>AG$7*Pakketten!$C17+AG$8*Pakketten!$K17+RFF!AG$9*Pakketten!$S17</f>
        <v>520</v>
      </c>
      <c r="AH53">
        <f>AH$7*Pakketten!$C17+AH$8*Pakketten!$K17+RFF!AH$9*Pakketten!$S17</f>
        <v>540</v>
      </c>
      <c r="AI53">
        <f>AI$7*Pakketten!$C17+AI$8*Pakketten!$K17+RFF!AI$9*Pakketten!$S17</f>
        <v>570</v>
      </c>
      <c r="AJ53">
        <f>AJ$7*Pakketten!$C17+AJ$8*Pakketten!$K17+RFF!AJ$9*Pakketten!$S17</f>
        <v>570</v>
      </c>
      <c r="AK53">
        <f>AK$7*Pakketten!$C17+AK$8*Pakketten!$K17+RFF!AK$9*Pakketten!$S17</f>
        <v>570</v>
      </c>
      <c r="AL53">
        <f>AL$7*Pakketten!$C17+AL$8*Pakketten!$K17+RFF!AL$9*Pakketten!$S17</f>
        <v>590</v>
      </c>
      <c r="AM53">
        <f>AM$7*Pakketten!$C17+AM$8*Pakketten!$K17+RFF!AM$9*Pakketten!$S17</f>
        <v>620</v>
      </c>
      <c r="AN53">
        <f>AN$7*Pakketten!$C17+AN$8*Pakketten!$K17+RFF!AN$9*Pakketten!$S17</f>
        <v>620</v>
      </c>
      <c r="AO53">
        <f>AO$7*Pakketten!$C17+AO$8*Pakketten!$K17+RFF!AO$9*Pakketten!$S17</f>
        <v>620</v>
      </c>
      <c r="AP53" s="19">
        <f t="shared" si="107"/>
        <v>6650</v>
      </c>
    </row>
    <row r="54" spans="1:42" outlineLevel="1" x14ac:dyDescent="0.3">
      <c r="A54" s="1">
        <f>ROW()</f>
        <v>54</v>
      </c>
      <c r="B54" s="4" t="s">
        <v>31</v>
      </c>
      <c r="C54" s="19"/>
      <c r="D54">
        <f>D$7*Pakketten!$C18+D$8*Pakketten!$K18+RFF!D$9*Pakketten!$S18</f>
        <v>0</v>
      </c>
      <c r="E54">
        <f>E$7*Pakketten!$C18+E$8*Pakketten!$K18+RFF!E$9*Pakketten!$S18</f>
        <v>0</v>
      </c>
      <c r="F54">
        <f>F$7*Pakketten!$C18+F$8*Pakketten!$K18+RFF!F$9*Pakketten!$S18</f>
        <v>0</v>
      </c>
      <c r="G54">
        <f>G$7*Pakketten!$C18+G$8*Pakketten!$K18+RFF!G$9*Pakketten!$S18</f>
        <v>0</v>
      </c>
      <c r="H54">
        <f>H$7*Pakketten!$C18+H$8*Pakketten!$K18+RFF!H$9*Pakketten!$S18</f>
        <v>0</v>
      </c>
      <c r="I54">
        <f>I$7*Pakketten!$C18+I$8*Pakketten!$K18+RFF!I$9*Pakketten!$S18</f>
        <v>0</v>
      </c>
      <c r="J54">
        <f>J$7*Pakketten!$C18+J$8*Pakketten!$K18+RFF!J$9*Pakketten!$S18</f>
        <v>4</v>
      </c>
      <c r="K54">
        <f>K$7*Pakketten!$C18+K$8*Pakketten!$K18+RFF!K$9*Pakketten!$S18</f>
        <v>4</v>
      </c>
      <c r="L54">
        <f>L$7*Pakketten!$C18+L$8*Pakketten!$K18+RFF!L$9*Pakketten!$S18</f>
        <v>4</v>
      </c>
      <c r="M54">
        <f>M$7*Pakketten!$C18+M$8*Pakketten!$K18+RFF!M$9*Pakketten!$S18</f>
        <v>8</v>
      </c>
      <c r="N54">
        <f>N$7*Pakketten!$C18+N$8*Pakketten!$K18+RFF!N$9*Pakketten!$S18</f>
        <v>8</v>
      </c>
      <c r="O54">
        <f>O$7*Pakketten!$C18+O$8*Pakketten!$K18+RFF!O$9*Pakketten!$S18</f>
        <v>8</v>
      </c>
      <c r="P54" s="19">
        <f t="shared" si="105"/>
        <v>36</v>
      </c>
      <c r="Q54">
        <f>Q$7*Pakketten!$C18+Q$8*Pakketten!$K18+RFF!Q$9*Pakketten!$S18</f>
        <v>12</v>
      </c>
      <c r="R54">
        <f>R$7*Pakketten!$C18+R$8*Pakketten!$K18+RFF!R$9*Pakketten!$S18</f>
        <v>12</v>
      </c>
      <c r="S54">
        <f>S$7*Pakketten!$C18+S$8*Pakketten!$K18+RFF!S$9*Pakketten!$S18</f>
        <v>12</v>
      </c>
      <c r="T54">
        <f>T$7*Pakketten!$C18+T$8*Pakketten!$K18+RFF!T$9*Pakketten!$S18</f>
        <v>16</v>
      </c>
      <c r="U54">
        <f>U$7*Pakketten!$C18+U$8*Pakketten!$K18+RFF!U$9*Pakketten!$S18</f>
        <v>16</v>
      </c>
      <c r="V54">
        <f>V$7*Pakketten!$C18+V$8*Pakketten!$K18+RFF!V$9*Pakketten!$S18</f>
        <v>20</v>
      </c>
      <c r="W54">
        <f>W$7*Pakketten!$C18+W$8*Pakketten!$K18+RFF!W$9*Pakketten!$S18</f>
        <v>20</v>
      </c>
      <c r="X54">
        <f>X$7*Pakketten!$C18+X$8*Pakketten!$K18+RFF!X$9*Pakketten!$S18</f>
        <v>20</v>
      </c>
      <c r="Y54">
        <f>Y$7*Pakketten!$C18+Y$8*Pakketten!$K18+RFF!Y$9*Pakketten!$S18</f>
        <v>20</v>
      </c>
      <c r="Z54">
        <f>Z$7*Pakketten!$C18+Z$8*Pakketten!$K18+RFF!Z$9*Pakketten!$S18</f>
        <v>24</v>
      </c>
      <c r="AA54">
        <f>AA$7*Pakketten!$C18+AA$8*Pakketten!$K18+RFF!AA$9*Pakketten!$S18</f>
        <v>24</v>
      </c>
      <c r="AB54">
        <f>AB$7*Pakketten!$C18+AB$8*Pakketten!$K18+RFF!AB$9*Pakketten!$S18</f>
        <v>24</v>
      </c>
      <c r="AC54" s="19">
        <f t="shared" si="106"/>
        <v>220</v>
      </c>
      <c r="AD54">
        <f>AD$7*Pakketten!$C18+AD$8*Pakketten!$K18+RFF!AD$9*Pakketten!$S18</f>
        <v>36</v>
      </c>
      <c r="AE54">
        <f>AE$7*Pakketten!$C18+AE$8*Pakketten!$K18+RFF!AE$9*Pakketten!$S18</f>
        <v>36</v>
      </c>
      <c r="AF54">
        <f>AF$7*Pakketten!$C18+AF$8*Pakketten!$K18+RFF!AF$9*Pakketten!$S18</f>
        <v>36</v>
      </c>
      <c r="AG54">
        <f>AG$7*Pakketten!$C18+AG$8*Pakketten!$K18+RFF!AG$9*Pakketten!$S18</f>
        <v>40</v>
      </c>
      <c r="AH54">
        <f>AH$7*Pakketten!$C18+AH$8*Pakketten!$K18+RFF!AH$9*Pakketten!$S18</f>
        <v>40</v>
      </c>
      <c r="AI54">
        <f>AI$7*Pakketten!$C18+AI$8*Pakketten!$K18+RFF!AI$9*Pakketten!$S18</f>
        <v>44</v>
      </c>
      <c r="AJ54">
        <f>AJ$7*Pakketten!$C18+AJ$8*Pakketten!$K18+RFF!AJ$9*Pakketten!$S18</f>
        <v>44</v>
      </c>
      <c r="AK54">
        <f>AK$7*Pakketten!$C18+AK$8*Pakketten!$K18+RFF!AK$9*Pakketten!$S18</f>
        <v>44</v>
      </c>
      <c r="AL54">
        <f>AL$7*Pakketten!$C18+AL$8*Pakketten!$K18+RFF!AL$9*Pakketten!$S18</f>
        <v>44</v>
      </c>
      <c r="AM54">
        <f>AM$7*Pakketten!$C18+AM$8*Pakketten!$K18+RFF!AM$9*Pakketten!$S18</f>
        <v>48</v>
      </c>
      <c r="AN54">
        <f>AN$7*Pakketten!$C18+AN$8*Pakketten!$K18+RFF!AN$9*Pakketten!$S18</f>
        <v>48</v>
      </c>
      <c r="AO54">
        <f>AO$7*Pakketten!$C18+AO$8*Pakketten!$K18+RFF!AO$9*Pakketten!$S18</f>
        <v>48</v>
      </c>
      <c r="AP54" s="19">
        <f t="shared" si="107"/>
        <v>508</v>
      </c>
    </row>
    <row r="55" spans="1:42" outlineLevel="1" x14ac:dyDescent="0.3">
      <c r="A55" s="1">
        <f>ROW()</f>
        <v>55</v>
      </c>
      <c r="C55" s="19"/>
      <c r="D55">
        <f>D$7*Pakketten!$C19+D$8*Pakketten!$K19+RFF!D$9*Pakketten!$S19</f>
        <v>0</v>
      </c>
      <c r="E55">
        <f>E$7*Pakketten!$C19+E$8*Pakketten!$K19+RFF!E$9*Pakketten!$S19</f>
        <v>0</v>
      </c>
      <c r="F55">
        <f>F$7*Pakketten!$C19+F$8*Pakketten!$K19+RFF!F$9*Pakketten!$S19</f>
        <v>0</v>
      </c>
      <c r="G55">
        <f>G$7*Pakketten!$C19+G$8*Pakketten!$K19+RFF!G$9*Pakketten!$S19</f>
        <v>32</v>
      </c>
      <c r="H55">
        <f>H$7*Pakketten!$C19+H$8*Pakketten!$K19+RFF!H$9*Pakketten!$S19</f>
        <v>32</v>
      </c>
      <c r="I55">
        <f>I$7*Pakketten!$C19+I$8*Pakketten!$K19+RFF!I$9*Pakketten!$S19</f>
        <v>32</v>
      </c>
      <c r="J55">
        <f>J$7*Pakketten!$C19+J$8*Pakketten!$K19+RFF!J$9*Pakketten!$S19</f>
        <v>196</v>
      </c>
      <c r="K55">
        <f>K$7*Pakketten!$C19+K$8*Pakketten!$K19+RFF!K$9*Pakketten!$S19</f>
        <v>196</v>
      </c>
      <c r="L55">
        <f>L$7*Pakketten!$C19+L$8*Pakketten!$K19+RFF!L$9*Pakketten!$S19</f>
        <v>196</v>
      </c>
      <c r="M55">
        <f>M$7*Pakketten!$C19+M$8*Pakketten!$K19+RFF!M$9*Pakketten!$S19</f>
        <v>332</v>
      </c>
      <c r="N55">
        <f>N$7*Pakketten!$C19+N$8*Pakketten!$K19+RFF!N$9*Pakketten!$S19</f>
        <v>332</v>
      </c>
      <c r="O55">
        <f>O$7*Pakketten!$C19+O$8*Pakketten!$K19+RFF!O$9*Pakketten!$S19</f>
        <v>332</v>
      </c>
      <c r="P55" s="19">
        <f t="shared" si="105"/>
        <v>1680</v>
      </c>
      <c r="Q55">
        <f>Q$7*Pakketten!$C19+Q$8*Pakketten!$K19+RFF!Q$9*Pakketten!$S19</f>
        <v>500</v>
      </c>
      <c r="R55">
        <f>R$7*Pakketten!$C19+R$8*Pakketten!$K19+RFF!R$9*Pakketten!$S19</f>
        <v>500</v>
      </c>
      <c r="S55">
        <f>S$7*Pakketten!$C19+S$8*Pakketten!$K19+RFF!S$9*Pakketten!$S19</f>
        <v>532</v>
      </c>
      <c r="T55">
        <f>T$7*Pakketten!$C19+T$8*Pakketten!$K19+RFF!T$9*Pakketten!$S19</f>
        <v>664</v>
      </c>
      <c r="U55">
        <f>U$7*Pakketten!$C19+U$8*Pakketten!$K19+RFF!U$9*Pakketten!$S19</f>
        <v>696</v>
      </c>
      <c r="V55">
        <f>V$7*Pakketten!$C19+V$8*Pakketten!$K19+RFF!V$9*Pakketten!$S19</f>
        <v>800</v>
      </c>
      <c r="W55">
        <f>W$7*Pakketten!$C19+W$8*Pakketten!$K19+RFF!W$9*Pakketten!$S19</f>
        <v>800</v>
      </c>
      <c r="X55">
        <f>X$7*Pakketten!$C19+X$8*Pakketten!$K19+RFF!X$9*Pakketten!$S19</f>
        <v>800</v>
      </c>
      <c r="Y55">
        <f>Y$7*Pakketten!$C19+Y$8*Pakketten!$K19+RFF!Y$9*Pakketten!$S19</f>
        <v>832</v>
      </c>
      <c r="Z55">
        <f>Z$7*Pakketten!$C19+Z$8*Pakketten!$K19+RFF!Z$9*Pakketten!$S19</f>
        <v>936</v>
      </c>
      <c r="AA55">
        <f>AA$7*Pakketten!$C19+AA$8*Pakketten!$K19+RFF!AA$9*Pakketten!$S19</f>
        <v>936</v>
      </c>
      <c r="AB55">
        <f>AB$7*Pakketten!$C19+AB$8*Pakketten!$K19+RFF!AB$9*Pakketten!$S19</f>
        <v>936</v>
      </c>
      <c r="AC55" s="19">
        <f t="shared" si="106"/>
        <v>8932</v>
      </c>
      <c r="AD55">
        <f>AD$7*Pakketten!$C19+AD$8*Pakketten!$K19+RFF!AD$9*Pakketten!$S19</f>
        <v>1340</v>
      </c>
      <c r="AE55">
        <f>AE$7*Pakketten!$C19+AE$8*Pakketten!$K19+RFF!AE$9*Pakketten!$S19</f>
        <v>1340</v>
      </c>
      <c r="AF55">
        <f>AF$7*Pakketten!$C19+AF$8*Pakketten!$K19+RFF!AF$9*Pakketten!$S19</f>
        <v>1372</v>
      </c>
      <c r="AG55">
        <f>AG$7*Pakketten!$C19+AG$8*Pakketten!$K19+RFF!AG$9*Pakketten!$S19</f>
        <v>1504</v>
      </c>
      <c r="AH55">
        <f>AH$7*Pakketten!$C19+AH$8*Pakketten!$K19+RFF!AH$9*Pakketten!$S19</f>
        <v>1536</v>
      </c>
      <c r="AI55">
        <f>AI$7*Pakketten!$C19+AI$8*Pakketten!$K19+RFF!AI$9*Pakketten!$S19</f>
        <v>1640</v>
      </c>
      <c r="AJ55">
        <f>AJ$7*Pakketten!$C19+AJ$8*Pakketten!$K19+RFF!AJ$9*Pakketten!$S19</f>
        <v>1640</v>
      </c>
      <c r="AK55">
        <f>AK$7*Pakketten!$C19+AK$8*Pakketten!$K19+RFF!AK$9*Pakketten!$S19</f>
        <v>1640</v>
      </c>
      <c r="AL55">
        <f>AL$7*Pakketten!$C19+AL$8*Pakketten!$K19+RFF!AL$9*Pakketten!$S19</f>
        <v>1672</v>
      </c>
      <c r="AM55">
        <f>AM$7*Pakketten!$C19+AM$8*Pakketten!$K19+RFF!AM$9*Pakketten!$S19</f>
        <v>1776</v>
      </c>
      <c r="AN55">
        <f>AN$7*Pakketten!$C19+AN$8*Pakketten!$K19+RFF!AN$9*Pakketten!$S19</f>
        <v>1776</v>
      </c>
      <c r="AO55">
        <f>AO$7*Pakketten!$C19+AO$8*Pakketten!$K19+RFF!AO$9*Pakketten!$S19</f>
        <v>1776</v>
      </c>
      <c r="AP55" s="19">
        <f t="shared" si="107"/>
        <v>19012</v>
      </c>
    </row>
    <row r="56" spans="1:42" outlineLevel="1" x14ac:dyDescent="0.3">
      <c r="A56" s="1">
        <f>ROW()</f>
        <v>56</v>
      </c>
      <c r="C56" s="17"/>
      <c r="P56" s="17"/>
      <c r="AC56" s="17"/>
      <c r="AP56" s="17"/>
    </row>
    <row r="57" spans="1:42" outlineLevel="1" x14ac:dyDescent="0.3">
      <c r="A57" s="1">
        <f>ROW()</f>
        <v>57</v>
      </c>
      <c r="B57" s="2" t="s">
        <v>374</v>
      </c>
      <c r="C57" s="17"/>
      <c r="P57" s="17"/>
      <c r="AC57" s="17"/>
      <c r="AP57" s="17"/>
    </row>
    <row r="58" spans="1:42" outlineLevel="1" x14ac:dyDescent="0.3">
      <c r="A58" s="1">
        <f>ROW()</f>
        <v>58</v>
      </c>
      <c r="B58" s="4" t="s">
        <v>24</v>
      </c>
      <c r="C58" s="17"/>
      <c r="D58" s="10">
        <f>IFERROR(D46/(D20*D$30*8*0.6),0)</f>
        <v>0</v>
      </c>
      <c r="E58" s="10">
        <f t="shared" ref="E58:O58" si="108">IFERROR(E46/(E20*E$30*8*0.6),0)</f>
        <v>0</v>
      </c>
      <c r="F58" s="10">
        <f t="shared" si="108"/>
        <v>0</v>
      </c>
      <c r="G58" s="10">
        <f t="shared" si="108"/>
        <v>0.20833333333333334</v>
      </c>
      <c r="H58" s="10">
        <f t="shared" si="108"/>
        <v>0.21929824561403508</v>
      </c>
      <c r="I58" s="10">
        <f t="shared" si="108"/>
        <v>0.18939393939393939</v>
      </c>
      <c r="J58" s="10">
        <f t="shared" si="108"/>
        <v>0.72463768115942018</v>
      </c>
      <c r="K58" s="10">
        <f t="shared" si="108"/>
        <v>0.79365079365079361</v>
      </c>
      <c r="L58" s="10">
        <f t="shared" si="108"/>
        <v>0.75757575757575757</v>
      </c>
      <c r="M58" s="10">
        <f t="shared" si="108"/>
        <v>0.44191919191919199</v>
      </c>
      <c r="N58" s="10">
        <f t="shared" si="108"/>
        <v>0.46296296296296297</v>
      </c>
      <c r="O58" s="10">
        <f t="shared" si="108"/>
        <v>0.44191919191919199</v>
      </c>
      <c r="P58" s="17"/>
      <c r="Q58" s="10">
        <f>IFERROR(Q46/(Q20*Q$30*8*0.6),0)</f>
        <v>0.87301587301587302</v>
      </c>
      <c r="R58" s="10">
        <f t="shared" ref="R58:AB58" si="109">IFERROR(R46/(R20*R$30*8*0.6),0)</f>
        <v>0.91666666666666663</v>
      </c>
      <c r="S58" s="10">
        <f t="shared" si="109"/>
        <v>0.90909090909090917</v>
      </c>
      <c r="T58" s="10">
        <f t="shared" si="109"/>
        <v>0.97222222222222232</v>
      </c>
      <c r="U58" s="10">
        <f t="shared" si="109"/>
        <v>1.0964912280701755</v>
      </c>
      <c r="V58" s="10">
        <f t="shared" si="109"/>
        <v>1.0732323232323233</v>
      </c>
      <c r="W58" s="10">
        <f t="shared" si="109"/>
        <v>1.0265700483091789</v>
      </c>
      <c r="X58" s="10">
        <f t="shared" si="109"/>
        <v>1.1243386243386244</v>
      </c>
      <c r="Y58" s="10">
        <f t="shared" si="109"/>
        <v>0.85227272727272718</v>
      </c>
      <c r="Z58" s="10">
        <f t="shared" si="109"/>
        <v>0.94696969696969691</v>
      </c>
      <c r="AA58" s="10">
        <f t="shared" si="109"/>
        <v>0.99206349206349209</v>
      </c>
      <c r="AB58" s="10">
        <f t="shared" si="109"/>
        <v>0.94696969696969691</v>
      </c>
      <c r="AC58" s="17"/>
      <c r="AD58" s="10">
        <f>IFERROR(AD46/(AD20*AD$30*8*0.6),0)</f>
        <v>0.79365079365079383</v>
      </c>
      <c r="AE58" s="10">
        <f t="shared" ref="AE58:AO58" si="110">IFERROR(AE46/(AE20*AE$30*8*0.6),0)</f>
        <v>0.83333333333333326</v>
      </c>
      <c r="AF58" s="10">
        <f t="shared" si="110"/>
        <v>0.78463203463203479</v>
      </c>
      <c r="AG58" s="10">
        <f t="shared" si="110"/>
        <v>0.92261904761904756</v>
      </c>
      <c r="AH58" s="10">
        <f t="shared" si="110"/>
        <v>1.0025062656641606</v>
      </c>
      <c r="AI58" s="10">
        <f t="shared" si="110"/>
        <v>0.91991341991342002</v>
      </c>
      <c r="AJ58" s="10">
        <f t="shared" si="110"/>
        <v>0.87991718426501053</v>
      </c>
      <c r="AK58" s="10">
        <f t="shared" si="110"/>
        <v>0.96371882086167815</v>
      </c>
      <c r="AL58" s="10">
        <f t="shared" si="110"/>
        <v>0.94696969696969713</v>
      </c>
      <c r="AM58" s="10">
        <f t="shared" si="110"/>
        <v>0.87594696969696961</v>
      </c>
      <c r="AN58" s="10">
        <f t="shared" si="110"/>
        <v>0.91765873015873012</v>
      </c>
      <c r="AO58" s="10">
        <f t="shared" si="110"/>
        <v>0.87594696969696961</v>
      </c>
      <c r="AP58" s="17"/>
    </row>
    <row r="59" spans="1:42" outlineLevel="1" x14ac:dyDescent="0.3">
      <c r="A59" s="1">
        <f>ROW()</f>
        <v>59</v>
      </c>
      <c r="B59" s="4" t="s">
        <v>25</v>
      </c>
      <c r="C59" s="17"/>
      <c r="D59" s="10">
        <f>IFERROR(D47/(D21*D$30*8*0.7),0)</f>
        <v>0</v>
      </c>
      <c r="E59" s="10">
        <f t="shared" ref="E59:O59" si="111">IFERROR(E47/(E21*E$30*8*0.7),0)</f>
        <v>0</v>
      </c>
      <c r="F59" s="10">
        <f t="shared" si="111"/>
        <v>0</v>
      </c>
      <c r="G59" s="10">
        <f t="shared" si="111"/>
        <v>0.11904761904761907</v>
      </c>
      <c r="H59" s="10">
        <f t="shared" si="111"/>
        <v>0.12531328320802007</v>
      </c>
      <c r="I59" s="10">
        <f t="shared" si="111"/>
        <v>0.10822510822510824</v>
      </c>
      <c r="J59" s="10">
        <f t="shared" si="111"/>
        <v>0.41407867494824024</v>
      </c>
      <c r="K59" s="10">
        <f t="shared" si="111"/>
        <v>0.45351473922902502</v>
      </c>
      <c r="L59" s="10">
        <f t="shared" si="111"/>
        <v>0.43290043290043295</v>
      </c>
      <c r="M59" s="10">
        <f t="shared" si="111"/>
        <v>0.75757575757575768</v>
      </c>
      <c r="N59" s="10">
        <f t="shared" si="111"/>
        <v>0.79365079365079383</v>
      </c>
      <c r="O59" s="10">
        <f t="shared" si="111"/>
        <v>0.75757575757575768</v>
      </c>
      <c r="P59" s="17"/>
      <c r="Q59" s="10">
        <f>IFERROR(Q47/(Q21*Q$30*8*0.7),0)</f>
        <v>0.93537414965986398</v>
      </c>
      <c r="R59" s="10">
        <f t="shared" ref="R59:AB59" si="112">IFERROR(R47/(R21*R$30*8*0.7),0)</f>
        <v>0.98214285714285721</v>
      </c>
      <c r="S59" s="10">
        <f t="shared" si="112"/>
        <v>0.97402597402597402</v>
      </c>
      <c r="T59" s="10">
        <f t="shared" si="112"/>
        <v>1</v>
      </c>
      <c r="U59" s="10">
        <f t="shared" si="112"/>
        <v>0.80558539205155755</v>
      </c>
      <c r="V59" s="10">
        <f t="shared" si="112"/>
        <v>0.78849721706864584</v>
      </c>
      <c r="W59" s="10">
        <f t="shared" si="112"/>
        <v>0.754214729370009</v>
      </c>
      <c r="X59" s="10">
        <f t="shared" si="112"/>
        <v>0.82604470359572402</v>
      </c>
      <c r="Y59" s="10">
        <f t="shared" si="112"/>
        <v>0.83487940630797797</v>
      </c>
      <c r="Z59" s="10">
        <f t="shared" si="112"/>
        <v>0.92764378478664211</v>
      </c>
      <c r="AA59" s="10">
        <f t="shared" si="112"/>
        <v>0.97181729834791064</v>
      </c>
      <c r="AB59" s="10">
        <f t="shared" si="112"/>
        <v>0.92764378478664211</v>
      </c>
      <c r="AC59" s="17"/>
      <c r="AD59" s="10">
        <f>IFERROR(AD47/(AD21*AD$30*8*0.7),0)</f>
        <v>0.95238095238095244</v>
      </c>
      <c r="AE59" s="10">
        <f t="shared" ref="AE59:AO59" si="113">IFERROR(AE47/(AE21*AE$30*8*0.7),0)</f>
        <v>1</v>
      </c>
      <c r="AF59" s="10">
        <f t="shared" si="113"/>
        <v>0.94155844155844159</v>
      </c>
      <c r="AG59" s="10">
        <f t="shared" si="113"/>
        <v>1.0064935064935066</v>
      </c>
      <c r="AH59" s="10">
        <f t="shared" si="113"/>
        <v>1.0936431989063566</v>
      </c>
      <c r="AI59" s="10">
        <f t="shared" si="113"/>
        <v>1.0035419126328216</v>
      </c>
      <c r="AJ59" s="10">
        <f t="shared" si="113"/>
        <v>0.95990965556182939</v>
      </c>
      <c r="AK59" s="10">
        <f t="shared" si="113"/>
        <v>1.0513296227581941</v>
      </c>
      <c r="AL59" s="10">
        <f t="shared" si="113"/>
        <v>1.0330578512396693</v>
      </c>
      <c r="AM59" s="10">
        <f t="shared" si="113"/>
        <v>0.92407592407592409</v>
      </c>
      <c r="AN59" s="10">
        <f t="shared" si="113"/>
        <v>0.96807953950811099</v>
      </c>
      <c r="AO59" s="10">
        <f t="shared" si="113"/>
        <v>0.92407592407592409</v>
      </c>
      <c r="AP59" s="17"/>
    </row>
    <row r="60" spans="1:42" outlineLevel="1" x14ac:dyDescent="0.3">
      <c r="A60" s="1">
        <f>ROW()</f>
        <v>60</v>
      </c>
      <c r="B60" s="4" t="s">
        <v>26</v>
      </c>
      <c r="C60" s="17"/>
      <c r="D60" s="10">
        <f t="shared" ref="D60:D66" si="114">IFERROR(D48/(D22*D$30*8*0.78),0)</f>
        <v>0</v>
      </c>
      <c r="E60" s="10">
        <f t="shared" ref="E60:O60" si="115">IFERROR(E48/(E22*E$30*8*0.78),0)</f>
        <v>0</v>
      </c>
      <c r="F60" s="10">
        <f t="shared" si="115"/>
        <v>0</v>
      </c>
      <c r="G60" s="10">
        <f t="shared" si="115"/>
        <v>0</v>
      </c>
      <c r="H60" s="10">
        <f t="shared" si="115"/>
        <v>0</v>
      </c>
      <c r="I60" s="10">
        <f t="shared" si="115"/>
        <v>0</v>
      </c>
      <c r="J60" s="10">
        <f t="shared" si="115"/>
        <v>0.6270903010033444</v>
      </c>
      <c r="K60" s="10">
        <f t="shared" si="115"/>
        <v>0.68681318681318682</v>
      </c>
      <c r="L60" s="10">
        <f t="shared" si="115"/>
        <v>0.65559440559440552</v>
      </c>
      <c r="M60" s="10">
        <f t="shared" si="115"/>
        <v>0.72843822843822847</v>
      </c>
      <c r="N60" s="10">
        <f t="shared" si="115"/>
        <v>0.76312576312576319</v>
      </c>
      <c r="O60" s="10">
        <f t="shared" si="115"/>
        <v>0.72843822843822847</v>
      </c>
      <c r="P60" s="17"/>
      <c r="Q60" s="10">
        <f t="shared" ref="Q60:Q66" si="116">IFERROR(Q48/(Q22*Q$30*8*0.78),0)</f>
        <v>0.85851648351648346</v>
      </c>
      <c r="R60" s="10">
        <f t="shared" ref="R60:AB60" si="117">IFERROR(R48/(R22*R$30*8*0.78),0)</f>
        <v>0.90144230769230771</v>
      </c>
      <c r="S60" s="10">
        <f t="shared" si="117"/>
        <v>0.87412587412587406</v>
      </c>
      <c r="T60" s="10">
        <f t="shared" si="117"/>
        <v>0.96153846153846145</v>
      </c>
      <c r="U60" s="10">
        <f t="shared" si="117"/>
        <v>0.88562753036437236</v>
      </c>
      <c r="V60" s="10">
        <f t="shared" si="117"/>
        <v>0.87412587412587417</v>
      </c>
      <c r="W60" s="10">
        <f t="shared" si="117"/>
        <v>0.83612040133779264</v>
      </c>
      <c r="X60" s="10">
        <f t="shared" si="117"/>
        <v>0.91575091575091583</v>
      </c>
      <c r="Y60" s="10">
        <f t="shared" si="117"/>
        <v>0.91054778554778559</v>
      </c>
      <c r="Z60" s="10">
        <f t="shared" si="117"/>
        <v>0.87412587412587417</v>
      </c>
      <c r="AA60" s="10">
        <f t="shared" si="117"/>
        <v>0.91575091575091583</v>
      </c>
      <c r="AB60" s="10">
        <f t="shared" si="117"/>
        <v>0.87412587412587417</v>
      </c>
      <c r="AC60" s="17"/>
      <c r="AD60" s="10">
        <f t="shared" ref="AD60:AD66" si="118">IFERROR(AD48/(AD22*AD$30*8*0.78),0)</f>
        <v>0.91575091575091583</v>
      </c>
      <c r="AE60" s="10">
        <f t="shared" ref="AE60:AO60" si="119">IFERROR(AE48/(AE22*AE$30*8*0.78),0)</f>
        <v>0.96153846153846145</v>
      </c>
      <c r="AF60" s="10">
        <f t="shared" si="119"/>
        <v>0.89597902097902093</v>
      </c>
      <c r="AG60" s="10">
        <f t="shared" si="119"/>
        <v>0.98339160839160833</v>
      </c>
      <c r="AH60" s="10">
        <f t="shared" si="119"/>
        <v>1.0581523739418475</v>
      </c>
      <c r="AI60" s="10">
        <f t="shared" si="119"/>
        <v>0.97345835982199613</v>
      </c>
      <c r="AJ60" s="10">
        <f t="shared" si="119"/>
        <v>0.9311340833079963</v>
      </c>
      <c r="AK60" s="10">
        <f t="shared" si="119"/>
        <v>1.0198135198135199</v>
      </c>
      <c r="AL60" s="10">
        <f t="shared" si="119"/>
        <v>0.99332485696122053</v>
      </c>
      <c r="AM60" s="10">
        <f t="shared" si="119"/>
        <v>0.89093598708983313</v>
      </c>
      <c r="AN60" s="10">
        <f t="shared" si="119"/>
        <v>0.93336151028458714</v>
      </c>
      <c r="AO60" s="10">
        <f t="shared" si="119"/>
        <v>0.89093598708983313</v>
      </c>
      <c r="AP60" s="17"/>
    </row>
    <row r="61" spans="1:42" outlineLevel="1" x14ac:dyDescent="0.3">
      <c r="A61" s="1">
        <f>ROW()</f>
        <v>61</v>
      </c>
      <c r="B61" s="4" t="s">
        <v>27</v>
      </c>
      <c r="C61" s="17"/>
      <c r="D61" s="10">
        <f t="shared" si="114"/>
        <v>0</v>
      </c>
      <c r="E61" s="10">
        <f t="shared" ref="E61:O61" si="120">IFERROR(E49/(E23*E$30*8*0.78),0)</f>
        <v>0</v>
      </c>
      <c r="F61" s="10">
        <f t="shared" si="120"/>
        <v>0</v>
      </c>
      <c r="G61" s="10">
        <f t="shared" si="120"/>
        <v>0</v>
      </c>
      <c r="H61" s="10">
        <f t="shared" si="120"/>
        <v>0</v>
      </c>
      <c r="I61" s="10">
        <f t="shared" si="120"/>
        <v>0</v>
      </c>
      <c r="J61" s="10">
        <f t="shared" si="120"/>
        <v>0.6270903010033444</v>
      </c>
      <c r="K61" s="10">
        <f t="shared" si="120"/>
        <v>0.68681318681318682</v>
      </c>
      <c r="L61" s="10">
        <f t="shared" si="120"/>
        <v>0.65559440559440552</v>
      </c>
      <c r="M61" s="10">
        <f t="shared" si="120"/>
        <v>0.72843822843822847</v>
      </c>
      <c r="N61" s="10">
        <f t="shared" si="120"/>
        <v>0.76312576312576319</v>
      </c>
      <c r="O61" s="10">
        <f t="shared" si="120"/>
        <v>0.72843822843822847</v>
      </c>
      <c r="P61" s="17"/>
      <c r="Q61" s="10">
        <f t="shared" si="116"/>
        <v>0.85851648351648346</v>
      </c>
      <c r="R61" s="10">
        <f t="shared" ref="R61:AB61" si="121">IFERROR(R49/(R23*R$30*8*0.78),0)</f>
        <v>0.90144230769230771</v>
      </c>
      <c r="S61" s="10">
        <f t="shared" si="121"/>
        <v>0.87412587412587406</v>
      </c>
      <c r="T61" s="10">
        <f t="shared" si="121"/>
        <v>0.96153846153846145</v>
      </c>
      <c r="U61" s="10">
        <f t="shared" si="121"/>
        <v>0.88562753036437236</v>
      </c>
      <c r="V61" s="10">
        <f t="shared" si="121"/>
        <v>0.87412587412587417</v>
      </c>
      <c r="W61" s="10">
        <f t="shared" si="121"/>
        <v>0.83612040133779264</v>
      </c>
      <c r="X61" s="10">
        <f t="shared" si="121"/>
        <v>0.91575091575091583</v>
      </c>
      <c r="Y61" s="10">
        <f t="shared" si="121"/>
        <v>0.91054778554778559</v>
      </c>
      <c r="Z61" s="10">
        <f t="shared" si="121"/>
        <v>0.87412587412587417</v>
      </c>
      <c r="AA61" s="10">
        <f t="shared" si="121"/>
        <v>0.91575091575091583</v>
      </c>
      <c r="AB61" s="10">
        <f t="shared" si="121"/>
        <v>0.87412587412587417</v>
      </c>
      <c r="AC61" s="17"/>
      <c r="AD61" s="10">
        <f t="shared" si="118"/>
        <v>0.91575091575091583</v>
      </c>
      <c r="AE61" s="10">
        <f t="shared" ref="AE61:AO61" si="122">IFERROR(AE49/(AE23*AE$30*8*0.78),0)</f>
        <v>0.96153846153846145</v>
      </c>
      <c r="AF61" s="10">
        <f t="shared" si="122"/>
        <v>0.89597902097902093</v>
      </c>
      <c r="AG61" s="10">
        <f t="shared" si="122"/>
        <v>0.90144230769230771</v>
      </c>
      <c r="AH61" s="10">
        <f t="shared" si="122"/>
        <v>0.96997300944669351</v>
      </c>
      <c r="AI61" s="10">
        <f t="shared" si="122"/>
        <v>0.89233682983682994</v>
      </c>
      <c r="AJ61" s="10">
        <f t="shared" si="122"/>
        <v>0.85353957636566335</v>
      </c>
      <c r="AK61" s="10">
        <f t="shared" si="122"/>
        <v>0.93482905982905984</v>
      </c>
      <c r="AL61" s="10">
        <f t="shared" si="122"/>
        <v>0.91054778554778559</v>
      </c>
      <c r="AM61" s="10">
        <f t="shared" si="122"/>
        <v>0.89093598708983313</v>
      </c>
      <c r="AN61" s="10">
        <f t="shared" si="122"/>
        <v>0.93336151028458714</v>
      </c>
      <c r="AO61" s="10">
        <f t="shared" si="122"/>
        <v>0.89093598708983313</v>
      </c>
      <c r="AP61" s="17"/>
    </row>
    <row r="62" spans="1:42" outlineLevel="1" x14ac:dyDescent="0.3">
      <c r="A62" s="1">
        <f>ROW()</f>
        <v>62</v>
      </c>
      <c r="B62" s="4" t="s">
        <v>28</v>
      </c>
      <c r="C62" s="17"/>
      <c r="D62" s="10">
        <f t="shared" si="114"/>
        <v>0</v>
      </c>
      <c r="E62" s="10">
        <f t="shared" ref="E62:O62" si="123">IFERROR(E50/(E24*E$30*8*0.78),0)</f>
        <v>0</v>
      </c>
      <c r="F62" s="10">
        <f t="shared" si="123"/>
        <v>0</v>
      </c>
      <c r="G62" s="10">
        <f t="shared" si="123"/>
        <v>0</v>
      </c>
      <c r="H62" s="10">
        <f t="shared" si="123"/>
        <v>0</v>
      </c>
      <c r="I62" s="10">
        <f t="shared" si="123"/>
        <v>0</v>
      </c>
      <c r="J62" s="10">
        <f t="shared" si="123"/>
        <v>0.69676700111482714</v>
      </c>
      <c r="K62" s="10">
        <f t="shared" si="123"/>
        <v>0.76312576312576308</v>
      </c>
      <c r="L62" s="10">
        <f t="shared" si="123"/>
        <v>0.72843822843822836</v>
      </c>
      <c r="M62" s="10">
        <f t="shared" si="123"/>
        <v>0.80128205128205132</v>
      </c>
      <c r="N62" s="10">
        <f t="shared" si="123"/>
        <v>0.83943833943833945</v>
      </c>
      <c r="O62" s="10">
        <f t="shared" si="123"/>
        <v>0.80128205128205132</v>
      </c>
      <c r="P62" s="17"/>
      <c r="Q62" s="10">
        <f t="shared" si="116"/>
        <v>0.95390720390720385</v>
      </c>
      <c r="R62" s="10">
        <f t="shared" ref="R62:AB62" si="124">IFERROR(R50/(R24*R$30*8*0.78),0)</f>
        <v>1.0016025641025641</v>
      </c>
      <c r="S62" s="10">
        <f t="shared" si="124"/>
        <v>0.98339160839160833</v>
      </c>
      <c r="T62" s="10">
        <f t="shared" si="124"/>
        <v>0.75549450549450547</v>
      </c>
      <c r="U62" s="10">
        <f t="shared" si="124"/>
        <v>0.84345479082321195</v>
      </c>
      <c r="V62" s="10">
        <f t="shared" si="124"/>
        <v>0.82209457209457215</v>
      </c>
      <c r="W62" s="10">
        <f t="shared" si="124"/>
        <v>0.78635132982959077</v>
      </c>
      <c r="X62" s="10">
        <f t="shared" si="124"/>
        <v>0.8612419326705042</v>
      </c>
      <c r="Y62" s="10">
        <f t="shared" si="124"/>
        <v>0.86371961371961381</v>
      </c>
      <c r="Z62" s="10">
        <f t="shared" si="124"/>
        <v>0.95737595737595749</v>
      </c>
      <c r="AA62" s="10">
        <f t="shared" si="124"/>
        <v>1.0029652886795744</v>
      </c>
      <c r="AB62" s="10">
        <f t="shared" si="124"/>
        <v>0.95737595737595749</v>
      </c>
      <c r="AC62" s="17"/>
      <c r="AD62" s="10">
        <f t="shared" si="118"/>
        <v>0.99206349206349209</v>
      </c>
      <c r="AE62" s="10">
        <f t="shared" ref="AE62:AO62" si="125">IFERROR(AE50/(AE24*AE$30*8*0.78),0)</f>
        <v>1.0416666666666665</v>
      </c>
      <c r="AF62" s="10">
        <f t="shared" si="125"/>
        <v>0.97610722610722611</v>
      </c>
      <c r="AG62" s="10">
        <f t="shared" si="125"/>
        <v>0.97489316239316248</v>
      </c>
      <c r="AH62" s="10">
        <f t="shared" si="125"/>
        <v>1.0543184885290147</v>
      </c>
      <c r="AI62" s="10">
        <f t="shared" si="125"/>
        <v>0.96518065268065278</v>
      </c>
      <c r="AJ62" s="10">
        <f t="shared" si="125"/>
        <v>0.9232162764771461</v>
      </c>
      <c r="AK62" s="10">
        <f t="shared" si="125"/>
        <v>1.0111416361416361</v>
      </c>
      <c r="AL62" s="10">
        <f t="shared" si="125"/>
        <v>0.98946192696192703</v>
      </c>
      <c r="AM62" s="10">
        <f t="shared" si="125"/>
        <v>0.96377980993365597</v>
      </c>
      <c r="AN62" s="10">
        <f t="shared" si="125"/>
        <v>1.0096740865971634</v>
      </c>
      <c r="AO62" s="10">
        <f t="shared" si="125"/>
        <v>0.96377980993365597</v>
      </c>
      <c r="AP62" s="17"/>
    </row>
    <row r="63" spans="1:42" outlineLevel="1" x14ac:dyDescent="0.3">
      <c r="A63" s="1">
        <f>ROW()</f>
        <v>63</v>
      </c>
      <c r="B63" s="4" t="s">
        <v>211</v>
      </c>
      <c r="C63" s="17"/>
      <c r="D63" s="10">
        <f t="shared" si="114"/>
        <v>0</v>
      </c>
      <c r="E63" s="10">
        <f t="shared" ref="E63:O63" si="126">IFERROR(E51/(E25*E$30*8*0.78),0)</f>
        <v>0</v>
      </c>
      <c r="F63" s="10">
        <f t="shared" si="126"/>
        <v>0</v>
      </c>
      <c r="G63" s="10">
        <f t="shared" si="126"/>
        <v>0.24038461538461536</v>
      </c>
      <c r="H63" s="10">
        <f t="shared" si="126"/>
        <v>0.25303643724696351</v>
      </c>
      <c r="I63" s="10">
        <f t="shared" si="126"/>
        <v>0.21853146853146851</v>
      </c>
      <c r="J63" s="10">
        <f t="shared" si="126"/>
        <v>0.73160535117056846</v>
      </c>
      <c r="K63" s="10">
        <f t="shared" si="126"/>
        <v>0.80128205128205121</v>
      </c>
      <c r="L63" s="10">
        <f t="shared" si="126"/>
        <v>0.76486013986013979</v>
      </c>
      <c r="M63" s="10">
        <f t="shared" si="126"/>
        <v>0.80128205128205132</v>
      </c>
      <c r="N63" s="10">
        <f t="shared" si="126"/>
        <v>0.83943833943833945</v>
      </c>
      <c r="O63" s="10">
        <f t="shared" si="126"/>
        <v>0.80128205128205132</v>
      </c>
      <c r="P63" s="17"/>
      <c r="Q63" s="10">
        <f t="shared" si="116"/>
        <v>0.7783882783882784</v>
      </c>
      <c r="R63" s="10">
        <f t="shared" ref="R63:AB63" si="127">IFERROR(R51/(R25*R$30*8*0.78),0)</f>
        <v>0.81730769230769218</v>
      </c>
      <c r="S63" s="10">
        <f t="shared" si="127"/>
        <v>0.83041958041958042</v>
      </c>
      <c r="T63" s="10">
        <f t="shared" si="127"/>
        <v>0.75549450549450547</v>
      </c>
      <c r="U63" s="10">
        <f t="shared" si="127"/>
        <v>0.86755349913244661</v>
      </c>
      <c r="V63" s="10">
        <f t="shared" si="127"/>
        <v>0.81168831168831179</v>
      </c>
      <c r="W63" s="10">
        <f t="shared" si="127"/>
        <v>0.77639751552795044</v>
      </c>
      <c r="X63" s="10">
        <f t="shared" si="127"/>
        <v>0.85034013605442182</v>
      </c>
      <c r="Y63" s="10">
        <f t="shared" si="127"/>
        <v>0.87412587412587417</v>
      </c>
      <c r="Z63" s="10">
        <f t="shared" si="127"/>
        <v>0.93656343656343666</v>
      </c>
      <c r="AA63" s="10">
        <f t="shared" si="127"/>
        <v>0.98116169544740983</v>
      </c>
      <c r="AB63" s="10">
        <f t="shared" si="127"/>
        <v>0.93656343656343666</v>
      </c>
      <c r="AC63" s="17"/>
      <c r="AD63" s="10">
        <f t="shared" si="118"/>
        <v>0.93864468864468875</v>
      </c>
      <c r="AE63" s="10">
        <f t="shared" ref="AE63:AO63" si="128">IFERROR(AE51/(AE25*AE$30*8*0.78),0)</f>
        <v>0.98557692307692302</v>
      </c>
      <c r="AF63" s="10">
        <f t="shared" si="128"/>
        <v>0.93968531468531469</v>
      </c>
      <c r="AG63" s="10">
        <f t="shared" si="128"/>
        <v>0.92147435897435903</v>
      </c>
      <c r="AH63" s="10">
        <f t="shared" si="128"/>
        <v>1.012145748987854</v>
      </c>
      <c r="AI63" s="10">
        <f t="shared" si="128"/>
        <v>0.91054778554778559</v>
      </c>
      <c r="AJ63" s="10">
        <f t="shared" si="128"/>
        <v>0.87095875139353407</v>
      </c>
      <c r="AK63" s="10">
        <f t="shared" si="128"/>
        <v>0.95390720390720396</v>
      </c>
      <c r="AL63" s="10">
        <f t="shared" si="128"/>
        <v>0.94696969696969702</v>
      </c>
      <c r="AM63" s="10">
        <f t="shared" si="128"/>
        <v>0.90774610005379219</v>
      </c>
      <c r="AN63" s="10">
        <f t="shared" si="128"/>
        <v>0.95097210481825867</v>
      </c>
      <c r="AO63" s="10">
        <f t="shared" si="128"/>
        <v>0.90774610005379219</v>
      </c>
      <c r="AP63" s="17"/>
    </row>
    <row r="64" spans="1:42" outlineLevel="1" x14ac:dyDescent="0.3">
      <c r="A64" s="1">
        <f>ROW()</f>
        <v>64</v>
      </c>
      <c r="B64" s="4" t="s">
        <v>29</v>
      </c>
      <c r="C64" s="17"/>
      <c r="D64" s="10">
        <f t="shared" si="114"/>
        <v>0</v>
      </c>
      <c r="E64" s="10">
        <f t="shared" ref="E64:O64" si="129">IFERROR(E52/(E26*E$30*8*0.78),0)</f>
        <v>0</v>
      </c>
      <c r="F64" s="10">
        <f t="shared" si="129"/>
        <v>0</v>
      </c>
      <c r="G64" s="10">
        <f t="shared" si="129"/>
        <v>0</v>
      </c>
      <c r="H64" s="10">
        <f t="shared" si="129"/>
        <v>0</v>
      </c>
      <c r="I64" s="10">
        <f t="shared" si="129"/>
        <v>0</v>
      </c>
      <c r="J64" s="10">
        <f t="shared" si="129"/>
        <v>0</v>
      </c>
      <c r="K64" s="10">
        <f t="shared" si="129"/>
        <v>0</v>
      </c>
      <c r="L64" s="10">
        <f t="shared" si="129"/>
        <v>0</v>
      </c>
      <c r="M64" s="10">
        <f t="shared" si="129"/>
        <v>0</v>
      </c>
      <c r="N64" s="10">
        <f t="shared" si="129"/>
        <v>0</v>
      </c>
      <c r="O64" s="10">
        <f t="shared" si="129"/>
        <v>0</v>
      </c>
      <c r="P64" s="17"/>
      <c r="Q64" s="10">
        <f t="shared" si="116"/>
        <v>0</v>
      </c>
      <c r="R64" s="10">
        <f t="shared" ref="R64:AB64" si="130">IFERROR(R52/(R26*R$30*8*0.78),0)</f>
        <v>0</v>
      </c>
      <c r="S64" s="10">
        <f t="shared" si="130"/>
        <v>0</v>
      </c>
      <c r="T64" s="10">
        <f t="shared" si="130"/>
        <v>0</v>
      </c>
      <c r="U64" s="10">
        <f t="shared" si="130"/>
        <v>0</v>
      </c>
      <c r="V64" s="10">
        <f t="shared" si="130"/>
        <v>0</v>
      </c>
      <c r="W64" s="10">
        <f t="shared" si="130"/>
        <v>0</v>
      </c>
      <c r="X64" s="10">
        <f t="shared" si="130"/>
        <v>0</v>
      </c>
      <c r="Y64" s="10">
        <f t="shared" si="130"/>
        <v>0</v>
      </c>
      <c r="Z64" s="10">
        <f t="shared" si="130"/>
        <v>0</v>
      </c>
      <c r="AA64" s="10">
        <f t="shared" si="130"/>
        <v>0</v>
      </c>
      <c r="AB64" s="10">
        <f t="shared" si="130"/>
        <v>0</v>
      </c>
      <c r="AC64" s="17"/>
      <c r="AD64" s="10">
        <f t="shared" si="118"/>
        <v>0</v>
      </c>
      <c r="AE64" s="10">
        <f t="shared" ref="AE64:AO64" si="131">IFERROR(AE52/(AE26*AE$30*8*0.78),0)</f>
        <v>0</v>
      </c>
      <c r="AF64" s="10">
        <f t="shared" si="131"/>
        <v>0</v>
      </c>
      <c r="AG64" s="10">
        <f t="shared" si="131"/>
        <v>0</v>
      </c>
      <c r="AH64" s="10">
        <f t="shared" si="131"/>
        <v>0</v>
      </c>
      <c r="AI64" s="10">
        <f t="shared" si="131"/>
        <v>0</v>
      </c>
      <c r="AJ64" s="10">
        <f t="shared" si="131"/>
        <v>0</v>
      </c>
      <c r="AK64" s="10">
        <f t="shared" si="131"/>
        <v>0</v>
      </c>
      <c r="AL64" s="10">
        <f t="shared" si="131"/>
        <v>0</v>
      </c>
      <c r="AM64" s="10">
        <f t="shared" si="131"/>
        <v>0</v>
      </c>
      <c r="AN64" s="10">
        <f t="shared" si="131"/>
        <v>0</v>
      </c>
      <c r="AO64" s="10">
        <f t="shared" si="131"/>
        <v>0</v>
      </c>
      <c r="AP64" s="17"/>
    </row>
    <row r="65" spans="1:42" outlineLevel="1" x14ac:dyDescent="0.3">
      <c r="A65" s="1">
        <f>ROW()</f>
        <v>65</v>
      </c>
      <c r="B65" s="4" t="s">
        <v>30</v>
      </c>
      <c r="C65" s="17"/>
      <c r="D65" s="10">
        <f t="shared" si="114"/>
        <v>0</v>
      </c>
      <c r="E65" s="10">
        <f t="shared" ref="E65:O65" si="132">IFERROR(E53/(E27*E$30*8*0.78),0)</f>
        <v>0</v>
      </c>
      <c r="F65" s="10">
        <f t="shared" si="132"/>
        <v>0</v>
      </c>
      <c r="G65" s="10">
        <f t="shared" si="132"/>
        <v>0</v>
      </c>
      <c r="H65" s="10">
        <f t="shared" si="132"/>
        <v>0</v>
      </c>
      <c r="I65" s="10">
        <f t="shared" si="132"/>
        <v>0</v>
      </c>
      <c r="J65" s="10">
        <f t="shared" si="132"/>
        <v>1.2193422519509474</v>
      </c>
      <c r="K65" s="10">
        <f t="shared" si="132"/>
        <v>1.3354700854700854</v>
      </c>
      <c r="L65" s="10">
        <f t="shared" si="132"/>
        <v>0.50990675990675993</v>
      </c>
      <c r="M65" s="10">
        <f t="shared" si="132"/>
        <v>0.87412587412587417</v>
      </c>
      <c r="N65" s="10">
        <f t="shared" si="132"/>
        <v>0.91575091575091583</v>
      </c>
      <c r="O65" s="10">
        <f t="shared" si="132"/>
        <v>0.87412587412587417</v>
      </c>
      <c r="P65" s="17"/>
      <c r="Q65" s="10">
        <f t="shared" si="116"/>
        <v>0.9062118437118436</v>
      </c>
      <c r="R65" s="10">
        <f t="shared" ref="R65:AB65" si="133">IFERROR(R53/(R27*R$30*8*0.78),0)</f>
        <v>0.9515224358974359</v>
      </c>
      <c r="S65" s="10">
        <f t="shared" si="133"/>
        <v>0.95607517482517468</v>
      </c>
      <c r="T65" s="10">
        <f t="shared" si="133"/>
        <v>0.96153846153846145</v>
      </c>
      <c r="U65" s="10">
        <f t="shared" si="133"/>
        <v>0.91374269005847941</v>
      </c>
      <c r="V65" s="10">
        <f t="shared" si="133"/>
        <v>0.88019619269619276</v>
      </c>
      <c r="W65" s="10">
        <f t="shared" si="133"/>
        <v>0.84192679301374962</v>
      </c>
      <c r="X65" s="10">
        <f t="shared" si="133"/>
        <v>0.92211029711029713</v>
      </c>
      <c r="Y65" s="10">
        <f t="shared" si="133"/>
        <v>0.94089937839937843</v>
      </c>
      <c r="Z65" s="10">
        <f t="shared" si="133"/>
        <v>0.82556332556332546</v>
      </c>
      <c r="AA65" s="10">
        <f t="shared" si="133"/>
        <v>0.86487586487586487</v>
      </c>
      <c r="AB65" s="10">
        <f t="shared" si="133"/>
        <v>0.82556332556332546</v>
      </c>
      <c r="AC65" s="17"/>
      <c r="AD65" s="10">
        <f t="shared" si="118"/>
        <v>0.89667277167277171</v>
      </c>
      <c r="AE65" s="10">
        <f t="shared" ref="AE65:AO65" si="134">IFERROR(AE53/(AE27*AE$30*8*0.78),0)</f>
        <v>0.94150641025641013</v>
      </c>
      <c r="AF65" s="10">
        <f t="shared" si="134"/>
        <v>0.89233682983682983</v>
      </c>
      <c r="AG65" s="10">
        <f t="shared" si="134"/>
        <v>0.94696969696969702</v>
      </c>
      <c r="AH65" s="10">
        <f t="shared" si="134"/>
        <v>1.0351490614648506</v>
      </c>
      <c r="AI65" s="10">
        <f t="shared" si="134"/>
        <v>0.94365861411315954</v>
      </c>
      <c r="AJ65" s="10">
        <f t="shared" si="134"/>
        <v>0.90262997871693518</v>
      </c>
      <c r="AK65" s="10">
        <f t="shared" si="134"/>
        <v>0.98859473859473856</v>
      </c>
      <c r="AL65" s="10">
        <f t="shared" si="134"/>
        <v>0.97676944267853349</v>
      </c>
      <c r="AM65" s="10">
        <f t="shared" si="134"/>
        <v>0.98180804702543845</v>
      </c>
      <c r="AN65" s="10">
        <f t="shared" si="134"/>
        <v>1.0285608111695068</v>
      </c>
      <c r="AO65" s="10">
        <f t="shared" si="134"/>
        <v>0.98180804702543845</v>
      </c>
      <c r="AP65" s="17"/>
    </row>
    <row r="66" spans="1:42" outlineLevel="1" x14ac:dyDescent="0.3">
      <c r="A66" s="1">
        <f>ROW()</f>
        <v>66</v>
      </c>
      <c r="B66" s="4" t="s">
        <v>31</v>
      </c>
      <c r="C66" s="17"/>
      <c r="D66" s="10">
        <f t="shared" si="114"/>
        <v>0</v>
      </c>
      <c r="E66" s="10">
        <f t="shared" ref="E66:O66" si="135">IFERROR(E54/(E28*E$30*8*0.78),0)</f>
        <v>0</v>
      </c>
      <c r="F66" s="10">
        <f t="shared" si="135"/>
        <v>0</v>
      </c>
      <c r="G66" s="10">
        <f t="shared" si="135"/>
        <v>0</v>
      </c>
      <c r="H66" s="10">
        <f t="shared" si="135"/>
        <v>0</v>
      </c>
      <c r="I66" s="10">
        <f t="shared" si="135"/>
        <v>0</v>
      </c>
      <c r="J66" s="10">
        <f t="shared" si="135"/>
        <v>6.9676700111482706E-2</v>
      </c>
      <c r="K66" s="10">
        <f t="shared" si="135"/>
        <v>7.6312576312576305E-2</v>
      </c>
      <c r="L66" s="10">
        <f t="shared" si="135"/>
        <v>7.2843822843822834E-2</v>
      </c>
      <c r="M66" s="10">
        <f t="shared" si="135"/>
        <v>0.14568764568764567</v>
      </c>
      <c r="N66" s="10">
        <f t="shared" si="135"/>
        <v>0.15262515262515261</v>
      </c>
      <c r="O66" s="10">
        <f t="shared" si="135"/>
        <v>0.14568764568764567</v>
      </c>
      <c r="P66" s="17"/>
      <c r="Q66" s="10">
        <f t="shared" si="116"/>
        <v>0.22893772893772893</v>
      </c>
      <c r="R66" s="10">
        <f t="shared" ref="R66:AB66" si="136">IFERROR(R54/(R28*R$30*8*0.78),0)</f>
        <v>0.24038461538461536</v>
      </c>
      <c r="S66" s="10">
        <f t="shared" si="136"/>
        <v>0.21853146853146851</v>
      </c>
      <c r="T66" s="10">
        <f t="shared" si="136"/>
        <v>0.32051282051282048</v>
      </c>
      <c r="U66" s="10">
        <f t="shared" si="136"/>
        <v>0.33738191632928471</v>
      </c>
      <c r="V66" s="10">
        <f t="shared" si="136"/>
        <v>0.36421911421911418</v>
      </c>
      <c r="W66" s="10">
        <f t="shared" si="136"/>
        <v>0.34838350055741357</v>
      </c>
      <c r="X66" s="10">
        <f t="shared" si="136"/>
        <v>0.38156288156288154</v>
      </c>
      <c r="Y66" s="10">
        <f t="shared" si="136"/>
        <v>0.36421911421911418</v>
      </c>
      <c r="Z66" s="10">
        <f t="shared" si="136"/>
        <v>0.43706293706293703</v>
      </c>
      <c r="AA66" s="10">
        <f t="shared" si="136"/>
        <v>0.45787545787545786</v>
      </c>
      <c r="AB66" s="10">
        <f t="shared" si="136"/>
        <v>0.43706293706293703</v>
      </c>
      <c r="AC66" s="17"/>
      <c r="AD66" s="10">
        <f t="shared" si="118"/>
        <v>0.68681318681318682</v>
      </c>
      <c r="AE66" s="10">
        <f t="shared" ref="AE66:AO66" si="137">IFERROR(AE54/(AE28*AE$30*8*0.78),0)</f>
        <v>0.72115384615384615</v>
      </c>
      <c r="AF66" s="10">
        <f t="shared" si="137"/>
        <v>0.65559440559440552</v>
      </c>
      <c r="AG66" s="10">
        <f t="shared" si="137"/>
        <v>0.80128205128205121</v>
      </c>
      <c r="AH66" s="10">
        <f t="shared" si="137"/>
        <v>0.84345479082321173</v>
      </c>
      <c r="AI66" s="10">
        <f t="shared" si="137"/>
        <v>0.80128205128205121</v>
      </c>
      <c r="AJ66" s="10">
        <f t="shared" si="137"/>
        <v>0.76644370122630978</v>
      </c>
      <c r="AK66" s="10">
        <f t="shared" si="137"/>
        <v>0.83943833943833934</v>
      </c>
      <c r="AL66" s="10">
        <f t="shared" si="137"/>
        <v>0.80128205128205121</v>
      </c>
      <c r="AM66" s="10">
        <f t="shared" si="137"/>
        <v>0.87412587412587406</v>
      </c>
      <c r="AN66" s="10">
        <f t="shared" si="137"/>
        <v>0.91575091575091572</v>
      </c>
      <c r="AO66" s="10">
        <f t="shared" si="137"/>
        <v>0.87412587412587406</v>
      </c>
      <c r="AP66" s="17"/>
    </row>
    <row r="67" spans="1:42" outlineLevel="1" x14ac:dyDescent="0.3">
      <c r="A67" s="1">
        <f>ROW()</f>
        <v>67</v>
      </c>
      <c r="C67" s="17"/>
      <c r="D67" s="10">
        <f>D55/(D30*8*SUM(D20:D28))</f>
        <v>0</v>
      </c>
      <c r="E67" s="10">
        <f t="shared" ref="E67:O67" si="138">E55/(E30*8*SUM(E20:E28))</f>
        <v>0</v>
      </c>
      <c r="F67" s="10">
        <f t="shared" si="138"/>
        <v>0</v>
      </c>
      <c r="G67" s="10">
        <f t="shared" si="138"/>
        <v>0.16666666666666663</v>
      </c>
      <c r="H67" s="10">
        <f t="shared" si="138"/>
        <v>0.17543859649122803</v>
      </c>
      <c r="I67" s="10">
        <f t="shared" si="138"/>
        <v>0.15151515151515149</v>
      </c>
      <c r="J67" s="10">
        <f t="shared" si="138"/>
        <v>0.3328804347826087</v>
      </c>
      <c r="K67" s="10">
        <f t="shared" si="138"/>
        <v>0.36458333333333337</v>
      </c>
      <c r="L67" s="10">
        <f t="shared" si="138"/>
        <v>0.2930622009569378</v>
      </c>
      <c r="M67" s="10">
        <f t="shared" si="138"/>
        <v>0.37727272727272726</v>
      </c>
      <c r="N67" s="10">
        <f t="shared" si="138"/>
        <v>0.39523809523809522</v>
      </c>
      <c r="O67" s="10">
        <f t="shared" si="138"/>
        <v>0.37727272727272726</v>
      </c>
      <c r="P67" s="17"/>
      <c r="Q67" s="10">
        <f>Q55/(Q30*8*SUM(Q20:Q28))</f>
        <v>0.44420753375977251</v>
      </c>
      <c r="R67" s="10">
        <f t="shared" ref="R67:AB67" si="139">R55/(R30*8*SUM(R20:R28))</f>
        <v>0.4664179104477611</v>
      </c>
      <c r="S67" s="10">
        <f t="shared" si="139"/>
        <v>0.45115332428765254</v>
      </c>
      <c r="T67" s="10">
        <f t="shared" si="139"/>
        <v>0.47159090909090912</v>
      </c>
      <c r="U67" s="10">
        <f t="shared" si="139"/>
        <v>0.45789473684210519</v>
      </c>
      <c r="V67" s="10">
        <f t="shared" si="139"/>
        <v>0.45454545454545447</v>
      </c>
      <c r="W67" s="10">
        <f t="shared" si="139"/>
        <v>0.43478260869565211</v>
      </c>
      <c r="X67" s="10">
        <f t="shared" si="139"/>
        <v>0.47619047619047611</v>
      </c>
      <c r="Y67" s="10">
        <f t="shared" si="139"/>
        <v>0.46345811051693397</v>
      </c>
      <c r="Z67" s="10">
        <f t="shared" si="139"/>
        <v>0.47483766233766228</v>
      </c>
      <c r="AA67" s="10">
        <f t="shared" si="139"/>
        <v>0.4974489795918367</v>
      </c>
      <c r="AB67" s="10">
        <f t="shared" si="139"/>
        <v>0.47483766233766228</v>
      </c>
      <c r="AC67" s="17"/>
      <c r="AD67" s="10">
        <f>AD55/(AD30*8*SUM(AD20:AD28))</f>
        <v>0.50482218203737195</v>
      </c>
      <c r="AE67" s="10">
        <f t="shared" ref="AE67:AO67" si="140">AE55/(AE30*8*SUM(AE20:AE28))</f>
        <v>0.53006329113924056</v>
      </c>
      <c r="AF67" s="10">
        <f t="shared" si="140"/>
        <v>0.49338319907940159</v>
      </c>
      <c r="AG67" s="10">
        <f t="shared" si="140"/>
        <v>0.5280898876404494</v>
      </c>
      <c r="AH67" s="10">
        <f t="shared" si="140"/>
        <v>0.56771141336487285</v>
      </c>
      <c r="AI67" s="10">
        <f t="shared" si="140"/>
        <v>0.52349336057201223</v>
      </c>
      <c r="AJ67" s="10">
        <f t="shared" si="140"/>
        <v>0.5007327796775769</v>
      </c>
      <c r="AK67" s="10">
        <f t="shared" si="140"/>
        <v>0.54842161583734617</v>
      </c>
      <c r="AL67" s="10">
        <f t="shared" si="140"/>
        <v>0.5337078651685393</v>
      </c>
      <c r="AM67" s="10">
        <f t="shared" si="140"/>
        <v>0.51484230055658631</v>
      </c>
      <c r="AN67" s="10">
        <f t="shared" si="140"/>
        <v>0.53935860058309038</v>
      </c>
      <c r="AO67" s="10">
        <f t="shared" si="140"/>
        <v>0.51484230055658631</v>
      </c>
      <c r="AP67" s="17"/>
    </row>
    <row r="68" spans="1:42" outlineLevel="1" x14ac:dyDescent="0.3">
      <c r="A68" s="1">
        <f>ROW()</f>
        <v>68</v>
      </c>
      <c r="C68" s="17"/>
      <c r="P68" s="17"/>
      <c r="AC68" s="17"/>
      <c r="AP68" s="17"/>
    </row>
    <row r="69" spans="1:42" outlineLevel="1" x14ac:dyDescent="0.3">
      <c r="A69" s="1">
        <f>ROW()</f>
        <v>69</v>
      </c>
      <c r="C69" s="17"/>
      <c r="P69" s="17"/>
      <c r="AC69" s="17"/>
      <c r="AP69" s="17"/>
    </row>
    <row r="70" spans="1:42" x14ac:dyDescent="0.3">
      <c r="A70" s="1">
        <f>ROW()</f>
        <v>70</v>
      </c>
      <c r="C70" s="17"/>
      <c r="P70" s="17"/>
      <c r="AC70" s="17"/>
      <c r="AP70" s="17"/>
    </row>
    <row r="71" spans="1:42" x14ac:dyDescent="0.3">
      <c r="A71" s="1">
        <f>ROW()</f>
        <v>71</v>
      </c>
      <c r="B71" s="3" t="s">
        <v>214</v>
      </c>
      <c r="C71" s="17"/>
      <c r="P71" s="17"/>
      <c r="AC71" s="17"/>
      <c r="AP71" s="17"/>
    </row>
    <row r="72" spans="1:42" x14ac:dyDescent="0.3">
      <c r="A72" s="1">
        <f>ROW()</f>
        <v>72</v>
      </c>
      <c r="C72" s="17"/>
      <c r="P72" s="17"/>
      <c r="AC72" s="17"/>
      <c r="AP72" s="17"/>
    </row>
    <row r="73" spans="1:42" x14ac:dyDescent="0.3">
      <c r="A73" s="1">
        <f>ROW()</f>
        <v>73</v>
      </c>
      <c r="B73" t="s">
        <v>215</v>
      </c>
      <c r="C73" s="18"/>
      <c r="D73" s="6">
        <f>D15</f>
        <v>0</v>
      </c>
      <c r="E73" s="6">
        <f t="shared" ref="E73:N73" si="141">E15</f>
        <v>0</v>
      </c>
      <c r="F73" s="6">
        <f t="shared" si="141"/>
        <v>0</v>
      </c>
      <c r="G73" s="6">
        <f t="shared" si="141"/>
        <v>6750</v>
      </c>
      <c r="H73" s="6">
        <f t="shared" si="141"/>
        <v>6750</v>
      </c>
      <c r="I73" s="6">
        <f t="shared" si="141"/>
        <v>6750</v>
      </c>
      <c r="J73" s="6">
        <f t="shared" si="141"/>
        <v>13500</v>
      </c>
      <c r="K73" s="6">
        <f t="shared" si="141"/>
        <v>13500</v>
      </c>
      <c r="L73" s="6">
        <f t="shared" si="141"/>
        <v>13500</v>
      </c>
      <c r="M73" s="6">
        <f t="shared" si="141"/>
        <v>20250</v>
      </c>
      <c r="N73" s="6">
        <f t="shared" si="141"/>
        <v>20250</v>
      </c>
      <c r="O73" s="6">
        <f>O15</f>
        <v>20250</v>
      </c>
      <c r="P73" s="18">
        <f>SUM(D73:O73)</f>
        <v>121500</v>
      </c>
      <c r="Q73" s="6">
        <f t="shared" ref="Q73:AB73" si="142">Q15</f>
        <v>35437.5</v>
      </c>
      <c r="R73" s="6">
        <f t="shared" si="142"/>
        <v>35437.5</v>
      </c>
      <c r="S73" s="6">
        <f t="shared" si="142"/>
        <v>42525</v>
      </c>
      <c r="T73" s="6">
        <f t="shared" si="142"/>
        <v>42525</v>
      </c>
      <c r="U73" s="6">
        <f t="shared" si="142"/>
        <v>49612.5</v>
      </c>
      <c r="V73" s="6">
        <f t="shared" si="142"/>
        <v>49612.5</v>
      </c>
      <c r="W73" s="6">
        <f t="shared" si="142"/>
        <v>49612.5</v>
      </c>
      <c r="X73" s="6">
        <f t="shared" si="142"/>
        <v>49612.5</v>
      </c>
      <c r="Y73" s="6">
        <f t="shared" si="142"/>
        <v>56700</v>
      </c>
      <c r="Z73" s="6">
        <f t="shared" si="142"/>
        <v>56700</v>
      </c>
      <c r="AA73" s="6">
        <f t="shared" si="142"/>
        <v>56700</v>
      </c>
      <c r="AB73" s="6">
        <f t="shared" si="142"/>
        <v>56700</v>
      </c>
      <c r="AC73" s="18">
        <f>SUM(Q73:AB73)</f>
        <v>581175</v>
      </c>
      <c r="AD73" s="6">
        <f t="shared" ref="AD73:AO73" si="143">AD15</f>
        <v>74418.75</v>
      </c>
      <c r="AE73" s="6">
        <f t="shared" si="143"/>
        <v>74418.75</v>
      </c>
      <c r="AF73" s="6">
        <f t="shared" si="143"/>
        <v>81860.625</v>
      </c>
      <c r="AG73" s="6">
        <f t="shared" si="143"/>
        <v>81860.625</v>
      </c>
      <c r="AH73" s="6">
        <f t="shared" si="143"/>
        <v>89302.5</v>
      </c>
      <c r="AI73" s="6">
        <f t="shared" si="143"/>
        <v>89302.5</v>
      </c>
      <c r="AJ73" s="6">
        <f t="shared" si="143"/>
        <v>89302.5</v>
      </c>
      <c r="AK73" s="6">
        <f t="shared" si="143"/>
        <v>89302.5</v>
      </c>
      <c r="AL73" s="6">
        <f t="shared" si="143"/>
        <v>96744.375</v>
      </c>
      <c r="AM73" s="6">
        <f t="shared" si="143"/>
        <v>96744.375</v>
      </c>
      <c r="AN73" s="6">
        <f t="shared" si="143"/>
        <v>96744.375</v>
      </c>
      <c r="AO73" s="6">
        <f t="shared" si="143"/>
        <v>96744.375</v>
      </c>
      <c r="AP73" s="18">
        <f>SUM(AD73:AO73)</f>
        <v>1056746.25</v>
      </c>
    </row>
    <row r="74" spans="1:42" x14ac:dyDescent="0.3">
      <c r="A74" s="1">
        <f>ROW()</f>
        <v>74</v>
      </c>
      <c r="B74" t="s">
        <v>216</v>
      </c>
      <c r="C74" s="18"/>
      <c r="D74" s="6">
        <f t="shared" ref="D74:O74" si="144">D16</f>
        <v>0</v>
      </c>
      <c r="E74" s="6">
        <f t="shared" si="144"/>
        <v>0</v>
      </c>
      <c r="F74" s="6">
        <f t="shared" si="144"/>
        <v>0</v>
      </c>
      <c r="G74" s="6">
        <f t="shared" si="144"/>
        <v>0</v>
      </c>
      <c r="H74" s="6">
        <f t="shared" si="144"/>
        <v>0</v>
      </c>
      <c r="I74" s="6">
        <f t="shared" si="144"/>
        <v>0</v>
      </c>
      <c r="J74" s="6">
        <f t="shared" si="144"/>
        <v>17000</v>
      </c>
      <c r="K74" s="6">
        <f t="shared" si="144"/>
        <v>17000</v>
      </c>
      <c r="L74" s="6">
        <f t="shared" si="144"/>
        <v>17000</v>
      </c>
      <c r="M74" s="6">
        <f t="shared" si="144"/>
        <v>17000</v>
      </c>
      <c r="N74" s="6">
        <f t="shared" si="144"/>
        <v>17000</v>
      </c>
      <c r="O74" s="6">
        <f t="shared" si="144"/>
        <v>17000</v>
      </c>
      <c r="P74" s="18">
        <f t="shared" ref="P74:P77" si="145">SUM(D74:O74)</f>
        <v>102000</v>
      </c>
      <c r="Q74" s="6">
        <f t="shared" ref="Q74:AB74" si="146">Q16</f>
        <v>17850</v>
      </c>
      <c r="R74" s="6">
        <f t="shared" si="146"/>
        <v>17850</v>
      </c>
      <c r="S74" s="6">
        <f t="shared" si="146"/>
        <v>17850</v>
      </c>
      <c r="T74" s="6">
        <f t="shared" si="146"/>
        <v>35700</v>
      </c>
      <c r="U74" s="6">
        <f t="shared" si="146"/>
        <v>35700</v>
      </c>
      <c r="V74" s="6">
        <f t="shared" si="146"/>
        <v>35700</v>
      </c>
      <c r="W74" s="6">
        <f t="shared" si="146"/>
        <v>35700</v>
      </c>
      <c r="X74" s="6">
        <f t="shared" si="146"/>
        <v>35700</v>
      </c>
      <c r="Y74" s="6">
        <f t="shared" si="146"/>
        <v>35700</v>
      </c>
      <c r="Z74" s="6">
        <f t="shared" si="146"/>
        <v>35700</v>
      </c>
      <c r="AA74" s="6">
        <f t="shared" si="146"/>
        <v>35700</v>
      </c>
      <c r="AB74" s="6">
        <f t="shared" si="146"/>
        <v>35700</v>
      </c>
      <c r="AC74" s="18">
        <f t="shared" ref="AC74:AC77" si="147">SUM(Q74:AB74)</f>
        <v>374850</v>
      </c>
      <c r="AD74" s="6">
        <f t="shared" ref="AD74:AO74" si="148">AD16</f>
        <v>56227.5</v>
      </c>
      <c r="AE74" s="6">
        <f t="shared" si="148"/>
        <v>56227.5</v>
      </c>
      <c r="AF74" s="6">
        <f t="shared" si="148"/>
        <v>56227.5</v>
      </c>
      <c r="AG74" s="6">
        <f t="shared" si="148"/>
        <v>74970</v>
      </c>
      <c r="AH74" s="6">
        <f t="shared" si="148"/>
        <v>74970</v>
      </c>
      <c r="AI74" s="6">
        <f t="shared" si="148"/>
        <v>74970</v>
      </c>
      <c r="AJ74" s="6">
        <f t="shared" si="148"/>
        <v>74970</v>
      </c>
      <c r="AK74" s="6">
        <f t="shared" si="148"/>
        <v>74970</v>
      </c>
      <c r="AL74" s="6">
        <f t="shared" si="148"/>
        <v>74970</v>
      </c>
      <c r="AM74" s="6">
        <f t="shared" si="148"/>
        <v>74970</v>
      </c>
      <c r="AN74" s="6">
        <f t="shared" si="148"/>
        <v>74970</v>
      </c>
      <c r="AO74" s="6">
        <f t="shared" si="148"/>
        <v>74970</v>
      </c>
      <c r="AP74" s="18">
        <f t="shared" ref="AP74:AP77" si="149">SUM(AD74:AO74)</f>
        <v>843412.5</v>
      </c>
    </row>
    <row r="75" spans="1:42" x14ac:dyDescent="0.3">
      <c r="A75" s="1">
        <f>ROW()</f>
        <v>75</v>
      </c>
      <c r="B75" t="s">
        <v>217</v>
      </c>
      <c r="C75" s="18"/>
      <c r="D75" s="6">
        <f t="shared" ref="D75:O75" si="150">D17</f>
        <v>0</v>
      </c>
      <c r="E75" s="6">
        <f t="shared" si="150"/>
        <v>0</v>
      </c>
      <c r="F75" s="6">
        <f t="shared" si="150"/>
        <v>0</v>
      </c>
      <c r="G75" s="6">
        <f t="shared" si="150"/>
        <v>0</v>
      </c>
      <c r="H75" s="6">
        <f t="shared" si="150"/>
        <v>0</v>
      </c>
      <c r="I75" s="6">
        <f t="shared" si="150"/>
        <v>0</v>
      </c>
      <c r="J75" s="6">
        <f t="shared" si="150"/>
        <v>0</v>
      </c>
      <c r="K75" s="6">
        <f t="shared" si="150"/>
        <v>0</v>
      </c>
      <c r="L75" s="6">
        <f t="shared" si="150"/>
        <v>0</v>
      </c>
      <c r="M75" s="6">
        <f t="shared" si="150"/>
        <v>13500</v>
      </c>
      <c r="N75" s="6">
        <f t="shared" si="150"/>
        <v>13500</v>
      </c>
      <c r="O75" s="6">
        <f t="shared" si="150"/>
        <v>13500</v>
      </c>
      <c r="P75" s="18">
        <f t="shared" si="145"/>
        <v>40500</v>
      </c>
      <c r="Q75" s="6">
        <f t="shared" ref="Q75:AB75" si="151">Q17</f>
        <v>28350</v>
      </c>
      <c r="R75" s="6">
        <f t="shared" si="151"/>
        <v>28350</v>
      </c>
      <c r="S75" s="6">
        <f t="shared" si="151"/>
        <v>28350</v>
      </c>
      <c r="T75" s="6">
        <f t="shared" si="151"/>
        <v>28350</v>
      </c>
      <c r="U75" s="6">
        <f t="shared" si="151"/>
        <v>28350</v>
      </c>
      <c r="V75" s="6">
        <f t="shared" si="151"/>
        <v>42525</v>
      </c>
      <c r="W75" s="6">
        <f t="shared" si="151"/>
        <v>42525</v>
      </c>
      <c r="X75" s="6">
        <f t="shared" si="151"/>
        <v>42525</v>
      </c>
      <c r="Y75" s="6">
        <f t="shared" si="151"/>
        <v>42525</v>
      </c>
      <c r="Z75" s="6">
        <f t="shared" si="151"/>
        <v>56700</v>
      </c>
      <c r="AA75" s="6">
        <f t="shared" si="151"/>
        <v>56700</v>
      </c>
      <c r="AB75" s="6">
        <f t="shared" si="151"/>
        <v>56700</v>
      </c>
      <c r="AC75" s="18">
        <f t="shared" si="147"/>
        <v>481950</v>
      </c>
      <c r="AD75" s="6">
        <f t="shared" ref="AD75:AO75" si="152">AD17</f>
        <v>89302.5</v>
      </c>
      <c r="AE75" s="6">
        <f t="shared" si="152"/>
        <v>89302.5</v>
      </c>
      <c r="AF75" s="6">
        <f t="shared" si="152"/>
        <v>89302.5</v>
      </c>
      <c r="AG75" s="6">
        <f t="shared" si="152"/>
        <v>89302.5</v>
      </c>
      <c r="AH75" s="6">
        <f t="shared" si="152"/>
        <v>89302.5</v>
      </c>
      <c r="AI75" s="6">
        <f t="shared" si="152"/>
        <v>104186.25</v>
      </c>
      <c r="AJ75" s="6">
        <f t="shared" si="152"/>
        <v>104186.25</v>
      </c>
      <c r="AK75" s="6">
        <f t="shared" si="152"/>
        <v>104186.25</v>
      </c>
      <c r="AL75" s="6">
        <f t="shared" si="152"/>
        <v>104186.25</v>
      </c>
      <c r="AM75" s="6">
        <f t="shared" si="152"/>
        <v>119070</v>
      </c>
      <c r="AN75" s="6">
        <f t="shared" si="152"/>
        <v>119070</v>
      </c>
      <c r="AO75" s="6">
        <f t="shared" si="152"/>
        <v>119070</v>
      </c>
      <c r="AP75" s="18">
        <f t="shared" si="149"/>
        <v>1220467.5</v>
      </c>
    </row>
    <row r="76" spans="1:42" x14ac:dyDescent="0.3">
      <c r="A76" s="1">
        <f>ROW()</f>
        <v>76</v>
      </c>
      <c r="B76" t="s">
        <v>218</v>
      </c>
      <c r="C76" s="18"/>
      <c r="D76" s="6">
        <f>E7*1000+E8*15000+E9*25000</f>
        <v>0</v>
      </c>
      <c r="E76" s="6">
        <f>F7-E7*1000+F8-E8*15000+F9-E9*25000</f>
        <v>0</v>
      </c>
      <c r="F76" s="6">
        <f>(G7-F7)*10000+(G8-F8)*15000+(G9-F9)*25000</f>
        <v>10000</v>
      </c>
      <c r="G76" s="6">
        <f t="shared" ref="G76:N76" si="153">(H7-G7)*10000+(H8-G8)*15000+(H9-G9)*25000</f>
        <v>0</v>
      </c>
      <c r="H76" s="6">
        <f t="shared" si="153"/>
        <v>0</v>
      </c>
      <c r="I76" s="6">
        <f t="shared" si="153"/>
        <v>25000</v>
      </c>
      <c r="J76" s="6">
        <f t="shared" si="153"/>
        <v>0</v>
      </c>
      <c r="K76" s="6">
        <f t="shared" si="153"/>
        <v>0</v>
      </c>
      <c r="L76" s="6">
        <f t="shared" si="153"/>
        <v>22500</v>
      </c>
      <c r="M76" s="6">
        <f t="shared" si="153"/>
        <v>0</v>
      </c>
      <c r="N76" s="6">
        <f t="shared" si="153"/>
        <v>0</v>
      </c>
      <c r="O76" s="6">
        <f>(Q7-O7)*10000+(Q8-O8)*15000+(Q9-O9)*25000</f>
        <v>32500</v>
      </c>
      <c r="P76" s="18">
        <f t="shared" si="145"/>
        <v>90000</v>
      </c>
      <c r="Q76" s="6">
        <f>(R7-Q7)*10000+(R8-Q8)*15000+(R9-Q9)*25000</f>
        <v>0</v>
      </c>
      <c r="R76" s="6">
        <f t="shared" ref="R76:AA76" si="154">(S7-R7)*10000+(S8-R8)*15000+(S9-R9)*25000</f>
        <v>10000</v>
      </c>
      <c r="S76" s="6">
        <f t="shared" si="154"/>
        <v>15000</v>
      </c>
      <c r="T76" s="6">
        <f t="shared" si="154"/>
        <v>10000</v>
      </c>
      <c r="U76" s="6">
        <f t="shared" si="154"/>
        <v>12500</v>
      </c>
      <c r="V76" s="6">
        <f t="shared" si="154"/>
        <v>0</v>
      </c>
      <c r="W76" s="6">
        <f t="shared" si="154"/>
        <v>0</v>
      </c>
      <c r="X76" s="6">
        <f t="shared" si="154"/>
        <v>10000</v>
      </c>
      <c r="Y76" s="6">
        <f t="shared" si="154"/>
        <v>12500</v>
      </c>
      <c r="Z76" s="6">
        <f t="shared" si="154"/>
        <v>0</v>
      </c>
      <c r="AA76" s="6">
        <f t="shared" si="154"/>
        <v>0</v>
      </c>
      <c r="AB76" s="6">
        <f>(AD7-AB7)*10000+(AD8-AB8)*15000+(AD9-AB9)*25000</f>
        <v>60000</v>
      </c>
      <c r="AC76" s="18">
        <f t="shared" si="147"/>
        <v>130000</v>
      </c>
      <c r="AD76" s="6">
        <f>(AE7-AD7)*10000+(AE8-AD8)*15000+(AE9-AD9)*25000</f>
        <v>0</v>
      </c>
      <c r="AE76" s="6">
        <f t="shared" ref="AE76" si="155">(AF7-AE7)*10000+(AF8-AE8)*15000+(AF9-AE9)*25000</f>
        <v>10000</v>
      </c>
      <c r="AF76" s="6">
        <f t="shared" ref="AF76" si="156">(AG7-AF7)*10000+(AG8-AF8)*15000+(AG9-AF9)*25000</f>
        <v>15000</v>
      </c>
      <c r="AG76" s="6">
        <f t="shared" ref="AG76" si="157">(AH7-AG7)*10000+(AH8-AG8)*15000+(AH9-AG9)*25000</f>
        <v>10000</v>
      </c>
      <c r="AH76" s="6">
        <f t="shared" ref="AH76" si="158">(AI7-AH7)*10000+(AI8-AH8)*15000+(AI9-AH9)*25000</f>
        <v>12500</v>
      </c>
      <c r="AI76" s="6">
        <f t="shared" ref="AI76" si="159">(AJ7-AI7)*10000+(AJ8-AI8)*15000+(AJ9-AI9)*25000</f>
        <v>0</v>
      </c>
      <c r="AJ76" s="6">
        <f t="shared" ref="AJ76" si="160">(AK7-AJ7)*10000+(AK8-AJ8)*15000+(AK9-AJ9)*25000</f>
        <v>0</v>
      </c>
      <c r="AK76" s="6">
        <f t="shared" ref="AK76" si="161">(AL7-AK7)*10000+(AL8-AK8)*15000+(AL9-AK9)*25000</f>
        <v>10000</v>
      </c>
      <c r="AL76" s="6">
        <f t="shared" ref="AL76" si="162">(AM7-AL7)*10000+(AM8-AL8)*15000+(AM9-AL9)*25000</f>
        <v>12500</v>
      </c>
      <c r="AM76" s="6">
        <f t="shared" ref="AM76" si="163">(AN7-AM7)*10000+(AN8-AM8)*15000+(AN9-AM9)*25000</f>
        <v>0</v>
      </c>
      <c r="AN76" s="6">
        <f t="shared" ref="AN76" si="164">(AO7-AN7)*10000+(AO8-AN8)*15000+(AO9-AN9)*25000</f>
        <v>0</v>
      </c>
      <c r="AO76" s="6">
        <v>0</v>
      </c>
      <c r="AP76" s="18">
        <f t="shared" si="149"/>
        <v>70000</v>
      </c>
    </row>
    <row r="77" spans="1:42" x14ac:dyDescent="0.3">
      <c r="A77" s="1">
        <f>ROW()</f>
        <v>77</v>
      </c>
      <c r="B77" t="s">
        <v>313</v>
      </c>
      <c r="C77" s="18"/>
      <c r="D77" s="6">
        <v>20000</v>
      </c>
      <c r="E77" s="6">
        <v>20000</v>
      </c>
      <c r="F77" s="6">
        <v>20000</v>
      </c>
      <c r="G77" s="6">
        <v>15000</v>
      </c>
      <c r="H77" s="6">
        <v>15000</v>
      </c>
      <c r="I77" s="6">
        <v>2500</v>
      </c>
      <c r="J77" s="6">
        <v>2500</v>
      </c>
      <c r="K77" s="6">
        <v>2500</v>
      </c>
      <c r="L77" s="6">
        <v>2500</v>
      </c>
      <c r="M77" s="6">
        <v>2500</v>
      </c>
      <c r="N77" s="6">
        <v>2500</v>
      </c>
      <c r="O77" s="6">
        <v>2500</v>
      </c>
      <c r="P77" s="18">
        <f t="shared" si="145"/>
        <v>107500</v>
      </c>
      <c r="Q77" s="6">
        <v>5000</v>
      </c>
      <c r="R77" s="6">
        <v>5000</v>
      </c>
      <c r="S77" s="6">
        <v>5000</v>
      </c>
      <c r="T77" s="6">
        <v>5000</v>
      </c>
      <c r="U77" s="6">
        <v>5000</v>
      </c>
      <c r="V77" s="6">
        <v>5000</v>
      </c>
      <c r="W77" s="6">
        <v>5000</v>
      </c>
      <c r="X77" s="6">
        <v>5000</v>
      </c>
      <c r="Y77" s="6">
        <v>5000</v>
      </c>
      <c r="Z77" s="6">
        <v>5000</v>
      </c>
      <c r="AA77" s="6">
        <v>5000</v>
      </c>
      <c r="AB77" s="6">
        <v>5000</v>
      </c>
      <c r="AC77" s="18">
        <f t="shared" si="147"/>
        <v>60000</v>
      </c>
      <c r="AD77" s="6">
        <v>10000</v>
      </c>
      <c r="AE77" s="6">
        <v>10000</v>
      </c>
      <c r="AF77" s="6">
        <v>10000</v>
      </c>
      <c r="AG77" s="6">
        <v>10000</v>
      </c>
      <c r="AH77" s="6">
        <v>10000</v>
      </c>
      <c r="AI77" s="6">
        <v>10000</v>
      </c>
      <c r="AJ77" s="6">
        <v>10000</v>
      </c>
      <c r="AK77" s="6">
        <v>10000</v>
      </c>
      <c r="AL77" s="6">
        <v>10000</v>
      </c>
      <c r="AM77" s="6">
        <v>10000</v>
      </c>
      <c r="AN77" s="6">
        <v>10000</v>
      </c>
      <c r="AO77" s="6">
        <v>10000</v>
      </c>
      <c r="AP77" s="18">
        <f t="shared" si="149"/>
        <v>120000</v>
      </c>
    </row>
    <row r="78" spans="1:42" x14ac:dyDescent="0.3">
      <c r="A78" s="1">
        <f>ROW()</f>
        <v>78</v>
      </c>
      <c r="B78" t="s">
        <v>312</v>
      </c>
      <c r="C78" s="18"/>
      <c r="D78" s="6"/>
      <c r="E78" s="6"/>
      <c r="F78" s="6"/>
      <c r="G78" s="6"/>
      <c r="H78" s="6"/>
      <c r="I78" s="6"/>
      <c r="J78" s="6"/>
      <c r="K78" s="6"/>
      <c r="L78" s="6"/>
      <c r="M78" s="6"/>
      <c r="N78" s="6"/>
      <c r="O78" s="6"/>
      <c r="P78" s="18"/>
      <c r="Q78" s="6"/>
      <c r="R78" s="6"/>
      <c r="S78" s="6"/>
      <c r="T78" s="6"/>
      <c r="U78" s="6"/>
      <c r="V78" s="6"/>
      <c r="W78" s="6"/>
      <c r="X78" s="6"/>
      <c r="Y78" s="6"/>
      <c r="Z78" s="6"/>
      <c r="AA78" s="6"/>
      <c r="AB78" s="6"/>
      <c r="AC78" s="18"/>
      <c r="AD78" s="6"/>
      <c r="AE78" s="6"/>
      <c r="AF78" s="6"/>
      <c r="AG78" s="6"/>
      <c r="AH78" s="6"/>
      <c r="AI78" s="6"/>
      <c r="AJ78" s="6"/>
      <c r="AK78" s="6"/>
      <c r="AL78" s="6"/>
      <c r="AM78" s="6"/>
      <c r="AN78" s="6"/>
      <c r="AO78" s="6"/>
      <c r="AP78" s="18"/>
    </row>
    <row r="79" spans="1:42" x14ac:dyDescent="0.3">
      <c r="A79" s="1">
        <f>ROW()</f>
        <v>79</v>
      </c>
      <c r="B79" s="2" t="s">
        <v>219</v>
      </c>
      <c r="C79" s="20">
        <f>SUM(C73:C76)</f>
        <v>0</v>
      </c>
      <c r="D79" s="13">
        <f t="shared" ref="D79:N79" si="165">SUM(D73:D77)</f>
        <v>20000</v>
      </c>
      <c r="E79" s="13">
        <f t="shared" si="165"/>
        <v>20000</v>
      </c>
      <c r="F79" s="13">
        <f t="shared" si="165"/>
        <v>30000</v>
      </c>
      <c r="G79" s="13">
        <f t="shared" si="165"/>
        <v>21750</v>
      </c>
      <c r="H79" s="13">
        <f t="shared" si="165"/>
        <v>21750</v>
      </c>
      <c r="I79" s="13">
        <f t="shared" si="165"/>
        <v>34250</v>
      </c>
      <c r="J79" s="13">
        <f t="shared" si="165"/>
        <v>33000</v>
      </c>
      <c r="K79" s="13">
        <f t="shared" si="165"/>
        <v>33000</v>
      </c>
      <c r="L79" s="13">
        <f t="shared" si="165"/>
        <v>55500</v>
      </c>
      <c r="M79" s="13">
        <f t="shared" si="165"/>
        <v>53250</v>
      </c>
      <c r="N79" s="13">
        <f t="shared" si="165"/>
        <v>53250</v>
      </c>
      <c r="O79" s="13">
        <f>SUM(O73:O77)</f>
        <v>85750</v>
      </c>
      <c r="P79" s="20">
        <f>SUM(D79:O79)</f>
        <v>461500</v>
      </c>
      <c r="Q79" s="13">
        <f t="shared" ref="Q79:AA79" si="166">SUM(Q73:Q77)</f>
        <v>86637.5</v>
      </c>
      <c r="R79" s="13">
        <f t="shared" si="166"/>
        <v>96637.5</v>
      </c>
      <c r="S79" s="13">
        <f t="shared" si="166"/>
        <v>108725</v>
      </c>
      <c r="T79" s="13">
        <f t="shared" si="166"/>
        <v>121575</v>
      </c>
      <c r="U79" s="13">
        <f t="shared" si="166"/>
        <v>131162.5</v>
      </c>
      <c r="V79" s="13">
        <f t="shared" si="166"/>
        <v>132837.5</v>
      </c>
      <c r="W79" s="13">
        <f t="shared" si="166"/>
        <v>132837.5</v>
      </c>
      <c r="X79" s="13">
        <f t="shared" si="166"/>
        <v>142837.5</v>
      </c>
      <c r="Y79" s="13">
        <f t="shared" si="166"/>
        <v>152425</v>
      </c>
      <c r="Z79" s="13">
        <f t="shared" si="166"/>
        <v>154100</v>
      </c>
      <c r="AA79" s="13">
        <f t="shared" si="166"/>
        <v>154100</v>
      </c>
      <c r="AB79" s="13">
        <f>SUM(AB73:AB77)</f>
        <v>214100</v>
      </c>
      <c r="AC79" s="20">
        <f>SUM(Q79:AB79)</f>
        <v>1627975</v>
      </c>
      <c r="AD79" s="13">
        <f t="shared" ref="AD79:AN79" si="167">SUM(AD73:AD77)</f>
        <v>229948.75</v>
      </c>
      <c r="AE79" s="13">
        <f t="shared" si="167"/>
        <v>239948.75</v>
      </c>
      <c r="AF79" s="13">
        <f t="shared" si="167"/>
        <v>252390.625</v>
      </c>
      <c r="AG79" s="13">
        <f t="shared" si="167"/>
        <v>266133.125</v>
      </c>
      <c r="AH79" s="13">
        <f t="shared" si="167"/>
        <v>276075</v>
      </c>
      <c r="AI79" s="13">
        <f t="shared" si="167"/>
        <v>278458.75</v>
      </c>
      <c r="AJ79" s="13">
        <f t="shared" si="167"/>
        <v>278458.75</v>
      </c>
      <c r="AK79" s="13">
        <f t="shared" si="167"/>
        <v>288458.75</v>
      </c>
      <c r="AL79" s="13">
        <f t="shared" si="167"/>
        <v>298400.625</v>
      </c>
      <c r="AM79" s="13">
        <f t="shared" si="167"/>
        <v>300784.375</v>
      </c>
      <c r="AN79" s="13">
        <f t="shared" si="167"/>
        <v>300784.375</v>
      </c>
      <c r="AO79" s="13">
        <f>SUM(AO73:AO77)</f>
        <v>300784.375</v>
      </c>
      <c r="AP79" s="20">
        <f>SUM(AD79:AO79)</f>
        <v>3310626.25</v>
      </c>
    </row>
    <row r="80" spans="1:42" x14ac:dyDescent="0.3">
      <c r="A80" s="1">
        <f>ROW()</f>
        <v>80</v>
      </c>
      <c r="C80" s="17"/>
      <c r="P80" s="17"/>
      <c r="AC80" s="17"/>
      <c r="AP80" s="17"/>
    </row>
    <row r="81" spans="1:42" x14ac:dyDescent="0.3">
      <c r="A81" s="1">
        <f>ROW()</f>
        <v>81</v>
      </c>
      <c r="B81" t="s">
        <v>220</v>
      </c>
      <c r="C81" s="19"/>
      <c r="D81" s="6">
        <f>D7*10*30+D8*30+D9*100</f>
        <v>0</v>
      </c>
      <c r="E81" s="6">
        <f t="shared" ref="E81:O81" si="168">E7*10*30+E8*30+E9*100</f>
        <v>0</v>
      </c>
      <c r="F81" s="6">
        <f t="shared" si="168"/>
        <v>0</v>
      </c>
      <c r="G81" s="6">
        <f t="shared" si="168"/>
        <v>300</v>
      </c>
      <c r="H81" s="6">
        <f t="shared" si="168"/>
        <v>300</v>
      </c>
      <c r="I81" s="6">
        <f t="shared" si="168"/>
        <v>300</v>
      </c>
      <c r="J81" s="6">
        <f t="shared" si="168"/>
        <v>630</v>
      </c>
      <c r="K81" s="6">
        <f t="shared" si="168"/>
        <v>630</v>
      </c>
      <c r="L81" s="6">
        <f t="shared" si="168"/>
        <v>630</v>
      </c>
      <c r="M81" s="6">
        <f t="shared" si="168"/>
        <v>980</v>
      </c>
      <c r="N81" s="6">
        <f t="shared" si="168"/>
        <v>980</v>
      </c>
      <c r="O81" s="6">
        <f t="shared" si="168"/>
        <v>980</v>
      </c>
      <c r="P81" s="19">
        <f>SUM(D81:O81)</f>
        <v>5730</v>
      </c>
      <c r="Q81" s="6">
        <f t="shared" ref="Q81:AB81" si="169">Q7*10*30+Q8*30+Q9*100</f>
        <v>1630</v>
      </c>
      <c r="R81" s="6">
        <f t="shared" si="169"/>
        <v>1630</v>
      </c>
      <c r="S81" s="6">
        <f t="shared" si="169"/>
        <v>1930</v>
      </c>
      <c r="T81" s="6">
        <f t="shared" si="169"/>
        <v>1960</v>
      </c>
      <c r="U81" s="6">
        <f t="shared" si="169"/>
        <v>2260</v>
      </c>
      <c r="V81" s="6">
        <f t="shared" si="169"/>
        <v>2310</v>
      </c>
      <c r="W81" s="6">
        <f t="shared" si="169"/>
        <v>2310</v>
      </c>
      <c r="X81" s="6">
        <f t="shared" si="169"/>
        <v>2310</v>
      </c>
      <c r="Y81" s="6">
        <f t="shared" si="169"/>
        <v>2610</v>
      </c>
      <c r="Z81" s="6">
        <f t="shared" si="169"/>
        <v>2660</v>
      </c>
      <c r="AA81" s="6">
        <f t="shared" si="169"/>
        <v>2660</v>
      </c>
      <c r="AB81" s="6">
        <f t="shared" si="169"/>
        <v>2660</v>
      </c>
      <c r="AC81" s="19">
        <f>SUM(Q81:AB81)</f>
        <v>26930</v>
      </c>
      <c r="AD81" s="6">
        <f>AD7*10*30+AD8*30+AD9*100</f>
        <v>3390</v>
      </c>
      <c r="AE81" s="6">
        <f t="shared" ref="AE81:AO81" si="170">AE7*10*30+AE8*30+AE9*100</f>
        <v>3390</v>
      </c>
      <c r="AF81" s="6">
        <f t="shared" si="170"/>
        <v>3690</v>
      </c>
      <c r="AG81" s="6">
        <f t="shared" si="170"/>
        <v>3720</v>
      </c>
      <c r="AH81" s="6">
        <f t="shared" si="170"/>
        <v>4020</v>
      </c>
      <c r="AI81" s="6">
        <f t="shared" si="170"/>
        <v>4070</v>
      </c>
      <c r="AJ81" s="6">
        <f t="shared" si="170"/>
        <v>4070</v>
      </c>
      <c r="AK81" s="6">
        <f t="shared" si="170"/>
        <v>4070</v>
      </c>
      <c r="AL81" s="6">
        <f t="shared" si="170"/>
        <v>4370</v>
      </c>
      <c r="AM81" s="6">
        <f t="shared" si="170"/>
        <v>4420</v>
      </c>
      <c r="AN81" s="6">
        <f t="shared" si="170"/>
        <v>4420</v>
      </c>
      <c r="AO81" s="6">
        <f t="shared" si="170"/>
        <v>4420</v>
      </c>
      <c r="AP81" s="19">
        <f>SUM(AD81:AO81)</f>
        <v>48050</v>
      </c>
    </row>
    <row r="82" spans="1:42" x14ac:dyDescent="0.3">
      <c r="A82" s="1">
        <f>ROW()</f>
        <v>82</v>
      </c>
      <c r="B82" t="s">
        <v>221</v>
      </c>
      <c r="C82" s="19"/>
      <c r="D82" s="6">
        <f>D7*2*100+D8*6*100+D9*12*100</f>
        <v>0</v>
      </c>
      <c r="E82" s="6">
        <f t="shared" ref="E82:O82" si="171">E7*2*100+E8*6*100+E9*12*100</f>
        <v>0</v>
      </c>
      <c r="F82" s="6">
        <f t="shared" si="171"/>
        <v>0</v>
      </c>
      <c r="G82" s="6">
        <f t="shared" si="171"/>
        <v>200</v>
      </c>
      <c r="H82" s="6">
        <f t="shared" si="171"/>
        <v>200</v>
      </c>
      <c r="I82" s="6">
        <f t="shared" si="171"/>
        <v>200</v>
      </c>
      <c r="J82" s="6">
        <f t="shared" si="171"/>
        <v>1000</v>
      </c>
      <c r="K82" s="6">
        <f t="shared" si="171"/>
        <v>1000</v>
      </c>
      <c r="L82" s="6">
        <f t="shared" si="171"/>
        <v>1000</v>
      </c>
      <c r="M82" s="6">
        <f t="shared" si="171"/>
        <v>1800</v>
      </c>
      <c r="N82" s="6">
        <f t="shared" si="171"/>
        <v>1800</v>
      </c>
      <c r="O82" s="6">
        <f t="shared" si="171"/>
        <v>1800</v>
      </c>
      <c r="P82" s="19">
        <f>SUM(D82:O82)</f>
        <v>9000</v>
      </c>
      <c r="Q82" s="6">
        <f t="shared" ref="Q82:AB82" si="172">Q7*2*100+Q8*6*100+Q9*12*100</f>
        <v>2800</v>
      </c>
      <c r="R82" s="6">
        <f t="shared" si="172"/>
        <v>2800</v>
      </c>
      <c r="S82" s="6">
        <f t="shared" si="172"/>
        <v>3000</v>
      </c>
      <c r="T82" s="6">
        <f t="shared" si="172"/>
        <v>3600</v>
      </c>
      <c r="U82" s="6">
        <f t="shared" si="172"/>
        <v>3800</v>
      </c>
      <c r="V82" s="6">
        <f t="shared" si="172"/>
        <v>4400</v>
      </c>
      <c r="W82" s="6">
        <f t="shared" si="172"/>
        <v>4400</v>
      </c>
      <c r="X82" s="6">
        <f t="shared" si="172"/>
        <v>4400</v>
      </c>
      <c r="Y82" s="6">
        <f t="shared" si="172"/>
        <v>4600</v>
      </c>
      <c r="Z82" s="6">
        <f t="shared" si="172"/>
        <v>5200</v>
      </c>
      <c r="AA82" s="6">
        <f t="shared" si="172"/>
        <v>5200</v>
      </c>
      <c r="AB82" s="6">
        <f t="shared" si="172"/>
        <v>5200</v>
      </c>
      <c r="AC82" s="19">
        <f>SUM(Q82:AB82)</f>
        <v>49400</v>
      </c>
      <c r="AD82" s="6">
        <f t="shared" ref="AD82:AO82" si="173">AD7*2*100+AD8*6*100+AD9*12*100</f>
        <v>7400</v>
      </c>
      <c r="AE82" s="6">
        <f t="shared" si="173"/>
        <v>7400</v>
      </c>
      <c r="AF82" s="6">
        <f t="shared" si="173"/>
        <v>7600</v>
      </c>
      <c r="AG82" s="6">
        <f t="shared" si="173"/>
        <v>8200</v>
      </c>
      <c r="AH82" s="6">
        <f t="shared" si="173"/>
        <v>8400</v>
      </c>
      <c r="AI82" s="6">
        <f t="shared" si="173"/>
        <v>9000</v>
      </c>
      <c r="AJ82" s="6">
        <f t="shared" si="173"/>
        <v>9000</v>
      </c>
      <c r="AK82" s="6">
        <f t="shared" si="173"/>
        <v>9000</v>
      </c>
      <c r="AL82" s="6">
        <f t="shared" si="173"/>
        <v>9200</v>
      </c>
      <c r="AM82" s="6">
        <f t="shared" si="173"/>
        <v>9800</v>
      </c>
      <c r="AN82" s="6">
        <f t="shared" si="173"/>
        <v>9800</v>
      </c>
      <c r="AO82" s="6">
        <f t="shared" si="173"/>
        <v>9800</v>
      </c>
      <c r="AP82" s="19">
        <f>SUM(AD82:AO82)</f>
        <v>104600</v>
      </c>
    </row>
    <row r="83" spans="1:42" x14ac:dyDescent="0.3">
      <c r="A83" s="1">
        <f>ROW()</f>
        <v>83</v>
      </c>
      <c r="B83" s="2" t="s">
        <v>222</v>
      </c>
      <c r="C83" s="21">
        <f>SUM(C81:C82)</f>
        <v>0</v>
      </c>
      <c r="D83" s="13">
        <f>SUM(D81:D82)</f>
        <v>0</v>
      </c>
      <c r="E83" s="13">
        <f t="shared" ref="E83:Q83" si="174">SUM(E81:E82)</f>
        <v>0</v>
      </c>
      <c r="F83" s="13">
        <f t="shared" si="174"/>
        <v>0</v>
      </c>
      <c r="G83" s="13">
        <f t="shared" si="174"/>
        <v>500</v>
      </c>
      <c r="H83" s="13">
        <f t="shared" si="174"/>
        <v>500</v>
      </c>
      <c r="I83" s="13">
        <f t="shared" si="174"/>
        <v>500</v>
      </c>
      <c r="J83" s="13">
        <f t="shared" si="174"/>
        <v>1630</v>
      </c>
      <c r="K83" s="13">
        <f t="shared" si="174"/>
        <v>1630</v>
      </c>
      <c r="L83" s="13">
        <f t="shared" si="174"/>
        <v>1630</v>
      </c>
      <c r="M83" s="13">
        <f t="shared" si="174"/>
        <v>2780</v>
      </c>
      <c r="N83" s="13">
        <f t="shared" si="174"/>
        <v>2780</v>
      </c>
      <c r="O83" s="13">
        <f t="shared" si="174"/>
        <v>2780</v>
      </c>
      <c r="P83" s="21">
        <f>SUM(D83:O83)</f>
        <v>14730</v>
      </c>
      <c r="Q83" s="13">
        <f t="shared" si="174"/>
        <v>4430</v>
      </c>
      <c r="R83" s="13">
        <f t="shared" ref="R83" si="175">SUM(R81:R82)</f>
        <v>4430</v>
      </c>
      <c r="S83" s="13">
        <f t="shared" ref="S83" si="176">SUM(S81:S82)</f>
        <v>4930</v>
      </c>
      <c r="T83" s="13">
        <f t="shared" ref="T83" si="177">SUM(T81:T82)</f>
        <v>5560</v>
      </c>
      <c r="U83" s="13">
        <f t="shared" ref="U83" si="178">SUM(U81:U82)</f>
        <v>6060</v>
      </c>
      <c r="V83" s="13">
        <f t="shared" ref="V83" si="179">SUM(V81:V82)</f>
        <v>6710</v>
      </c>
      <c r="W83" s="13">
        <f t="shared" ref="W83" si="180">SUM(W81:W82)</f>
        <v>6710</v>
      </c>
      <c r="X83" s="13">
        <f t="shared" ref="X83" si="181">SUM(X81:X82)</f>
        <v>6710</v>
      </c>
      <c r="Y83" s="13">
        <f t="shared" ref="Y83" si="182">SUM(Y81:Y82)</f>
        <v>7210</v>
      </c>
      <c r="Z83" s="13">
        <f t="shared" ref="Z83" si="183">SUM(Z81:Z82)</f>
        <v>7860</v>
      </c>
      <c r="AA83" s="13">
        <f t="shared" ref="AA83" si="184">SUM(AA81:AA82)</f>
        <v>7860</v>
      </c>
      <c r="AB83" s="13">
        <f t="shared" ref="AB83" si="185">SUM(AB81:AB82)</f>
        <v>7860</v>
      </c>
      <c r="AC83" s="21">
        <f>SUM(Q83:AB83)</f>
        <v>76330</v>
      </c>
      <c r="AD83" s="13">
        <f t="shared" ref="AD83:AO83" si="186">SUM(AD81:AD82)</f>
        <v>10790</v>
      </c>
      <c r="AE83" s="13">
        <f t="shared" si="186"/>
        <v>10790</v>
      </c>
      <c r="AF83" s="13">
        <f t="shared" si="186"/>
        <v>11290</v>
      </c>
      <c r="AG83" s="13">
        <f t="shared" si="186"/>
        <v>11920</v>
      </c>
      <c r="AH83" s="13">
        <f t="shared" si="186"/>
        <v>12420</v>
      </c>
      <c r="AI83" s="13">
        <f t="shared" si="186"/>
        <v>13070</v>
      </c>
      <c r="AJ83" s="13">
        <f t="shared" si="186"/>
        <v>13070</v>
      </c>
      <c r="AK83" s="13">
        <f t="shared" si="186"/>
        <v>13070</v>
      </c>
      <c r="AL83" s="13">
        <f t="shared" si="186"/>
        <v>13570</v>
      </c>
      <c r="AM83" s="13">
        <f t="shared" si="186"/>
        <v>14220</v>
      </c>
      <c r="AN83" s="13">
        <f t="shared" si="186"/>
        <v>14220</v>
      </c>
      <c r="AO83" s="13">
        <f t="shared" si="186"/>
        <v>14220</v>
      </c>
      <c r="AP83" s="21">
        <f>SUM(AD83:AO83)</f>
        <v>152650</v>
      </c>
    </row>
    <row r="84" spans="1:42" x14ac:dyDescent="0.3">
      <c r="A84" s="1">
        <f>ROW()</f>
        <v>84</v>
      </c>
      <c r="C84" s="17"/>
      <c r="P84" s="17"/>
      <c r="AC84" s="17"/>
      <c r="AP84" s="17"/>
    </row>
    <row r="85" spans="1:42" x14ac:dyDescent="0.3">
      <c r="A85" s="1">
        <f>ROW()</f>
        <v>85</v>
      </c>
      <c r="B85" s="2" t="s">
        <v>135</v>
      </c>
      <c r="C85" s="17"/>
      <c r="P85" s="17"/>
      <c r="AC85" s="17"/>
      <c r="AP85" s="17"/>
    </row>
    <row r="86" spans="1:42" x14ac:dyDescent="0.3">
      <c r="A86" s="1">
        <f>ROW()</f>
        <v>86</v>
      </c>
      <c r="B86" t="str">
        <f>OPEX!B29</f>
        <v>Brutosalarissen</v>
      </c>
      <c r="C86" s="18"/>
      <c r="D86" s="6">
        <f>OPEX!D29</f>
        <v>2600</v>
      </c>
      <c r="E86" s="6">
        <f>OPEX!E29</f>
        <v>2600</v>
      </c>
      <c r="F86" s="6">
        <f>OPEX!F29</f>
        <v>2600</v>
      </c>
      <c r="G86" s="6">
        <f>OPEX!G29</f>
        <v>2600</v>
      </c>
      <c r="H86" s="6">
        <f>OPEX!H29</f>
        <v>2600</v>
      </c>
      <c r="I86" s="6">
        <f>OPEX!I29</f>
        <v>2600</v>
      </c>
      <c r="J86" s="6">
        <f>OPEX!J29</f>
        <v>20500</v>
      </c>
      <c r="K86" s="6">
        <f>OPEX!K29</f>
        <v>20500</v>
      </c>
      <c r="L86" s="6">
        <f>OPEX!L29</f>
        <v>22300</v>
      </c>
      <c r="M86" s="6">
        <f>OPEX!M29</f>
        <v>22300</v>
      </c>
      <c r="N86" s="6">
        <f>OPEX!N29</f>
        <v>22300</v>
      </c>
      <c r="O86" s="6">
        <f>OPEX!O29</f>
        <v>22300</v>
      </c>
      <c r="P86" s="18">
        <f>SUM(D86:O86)</f>
        <v>145800</v>
      </c>
      <c r="Q86" s="6">
        <f>OPEX!Q29</f>
        <v>30797</v>
      </c>
      <c r="R86" s="6">
        <f>OPEX!R29</f>
        <v>30797</v>
      </c>
      <c r="S86" s="6">
        <f>OPEX!S29</f>
        <v>30797</v>
      </c>
      <c r="T86" s="6">
        <f>OPEX!T29</f>
        <v>41097</v>
      </c>
      <c r="U86" s="6">
        <f>OPEX!U29</f>
        <v>45629</v>
      </c>
      <c r="V86" s="6">
        <f>OPEX!V29</f>
        <v>45629</v>
      </c>
      <c r="W86" s="6">
        <f>OPEX!W29</f>
        <v>45629</v>
      </c>
      <c r="X86" s="6">
        <f>OPEX!X29</f>
        <v>45629</v>
      </c>
      <c r="Y86" s="6">
        <f>OPEX!Y29</f>
        <v>45629</v>
      </c>
      <c r="Z86" s="6">
        <f>OPEX!Z29</f>
        <v>50779</v>
      </c>
      <c r="AA86" s="6">
        <f>OPEX!AA29</f>
        <v>50779</v>
      </c>
      <c r="AB86" s="6">
        <f>OPEX!AB29</f>
        <v>50779</v>
      </c>
      <c r="AC86" s="18">
        <f>SUM(Q86:AB86)</f>
        <v>513970</v>
      </c>
      <c r="AD86" s="6">
        <f>OPEX!AD29</f>
        <v>70864</v>
      </c>
      <c r="AE86" s="6">
        <f>OPEX!AE29</f>
        <v>70864</v>
      </c>
      <c r="AF86" s="6">
        <f>OPEX!AF29</f>
        <v>70864</v>
      </c>
      <c r="AG86" s="6">
        <f>OPEX!AG29</f>
        <v>81782</v>
      </c>
      <c r="AH86" s="6">
        <f>OPEX!AH29</f>
        <v>81782</v>
      </c>
      <c r="AI86" s="6">
        <f>OPEX!AI29</f>
        <v>81782</v>
      </c>
      <c r="AJ86" s="6">
        <f>OPEX!AJ29</f>
        <v>81782</v>
      </c>
      <c r="AK86" s="6">
        <f>OPEX!AK29</f>
        <v>81782</v>
      </c>
      <c r="AL86" s="6">
        <f>OPEX!AL29</f>
        <v>81782</v>
      </c>
      <c r="AM86" s="6">
        <f>OPEX!AM29</f>
        <v>89713</v>
      </c>
      <c r="AN86" s="6">
        <f>OPEX!AN29</f>
        <v>89713</v>
      </c>
      <c r="AO86" s="6">
        <f>OPEX!AO29</f>
        <v>89713</v>
      </c>
      <c r="AP86" s="18">
        <f>SUM(AD86:AO86)</f>
        <v>972423</v>
      </c>
    </row>
    <row r="87" spans="1:42" x14ac:dyDescent="0.3">
      <c r="A87" s="1">
        <f>ROW()</f>
        <v>87</v>
      </c>
      <c r="B87" t="str">
        <f>OPEX!B30</f>
        <v>Vakantiegeld</v>
      </c>
      <c r="C87" s="18"/>
      <c r="D87" s="6">
        <f>OPEX!D30</f>
        <v>208</v>
      </c>
      <c r="E87" s="6">
        <f>OPEX!E30</f>
        <v>208</v>
      </c>
      <c r="F87" s="6">
        <f>OPEX!F30</f>
        <v>208</v>
      </c>
      <c r="G87" s="6">
        <f>OPEX!G30</f>
        <v>208</v>
      </c>
      <c r="H87" s="6">
        <f>OPEX!H30</f>
        <v>208</v>
      </c>
      <c r="I87" s="6">
        <f>OPEX!I30</f>
        <v>208</v>
      </c>
      <c r="J87" s="6">
        <f>OPEX!J30</f>
        <v>1640</v>
      </c>
      <c r="K87" s="6">
        <f>OPEX!K30</f>
        <v>1640</v>
      </c>
      <c r="L87" s="6">
        <f>OPEX!L30</f>
        <v>1784</v>
      </c>
      <c r="M87" s="6">
        <f>OPEX!M30</f>
        <v>1784</v>
      </c>
      <c r="N87" s="6">
        <f>OPEX!N30</f>
        <v>1784</v>
      </c>
      <c r="O87" s="6">
        <f>OPEX!O30</f>
        <v>1784</v>
      </c>
      <c r="P87" s="18">
        <f>SUM(D87:O87)</f>
        <v>11664</v>
      </c>
      <c r="Q87" s="6">
        <f>OPEX!Q30</f>
        <v>2463.7600000000002</v>
      </c>
      <c r="R87" s="6">
        <f>OPEX!R30</f>
        <v>2463.7600000000002</v>
      </c>
      <c r="S87" s="6">
        <f>OPEX!S30</f>
        <v>2463.7600000000002</v>
      </c>
      <c r="T87" s="6">
        <f>OPEX!T30</f>
        <v>3287.76</v>
      </c>
      <c r="U87" s="6">
        <f>OPEX!U30</f>
        <v>3650.32</v>
      </c>
      <c r="V87" s="6">
        <f>OPEX!V30</f>
        <v>3650.32</v>
      </c>
      <c r="W87" s="6">
        <f>OPEX!W30</f>
        <v>3650.32</v>
      </c>
      <c r="X87" s="6">
        <f>OPEX!X30</f>
        <v>3650.32</v>
      </c>
      <c r="Y87" s="6">
        <f>OPEX!Y30</f>
        <v>3650.32</v>
      </c>
      <c r="Z87" s="6">
        <f>OPEX!Z30</f>
        <v>4062.32</v>
      </c>
      <c r="AA87" s="6">
        <f>OPEX!AA30</f>
        <v>4062.32</v>
      </c>
      <c r="AB87" s="6">
        <f>OPEX!AB30</f>
        <v>4062.32</v>
      </c>
      <c r="AC87" s="18">
        <f>SUM(Q87:AB87)</f>
        <v>41117.599999999999</v>
      </c>
      <c r="AD87" s="6">
        <f>OPEX!AD30</f>
        <v>5669.12</v>
      </c>
      <c r="AE87" s="6">
        <f>OPEX!AE30</f>
        <v>5669.12</v>
      </c>
      <c r="AF87" s="6">
        <f>OPEX!AF30</f>
        <v>5669.12</v>
      </c>
      <c r="AG87" s="6">
        <f>OPEX!AG30</f>
        <v>6542.56</v>
      </c>
      <c r="AH87" s="6">
        <f>OPEX!AH30</f>
        <v>6542.56</v>
      </c>
      <c r="AI87" s="6">
        <f>OPEX!AI30</f>
        <v>6542.56</v>
      </c>
      <c r="AJ87" s="6">
        <f>OPEX!AJ30</f>
        <v>6542.56</v>
      </c>
      <c r="AK87" s="6">
        <f>OPEX!AK30</f>
        <v>6542.56</v>
      </c>
      <c r="AL87" s="6">
        <f>OPEX!AL30</f>
        <v>6542.56</v>
      </c>
      <c r="AM87" s="6">
        <f>OPEX!AM30</f>
        <v>7177.04</v>
      </c>
      <c r="AN87" s="6">
        <f>OPEX!AN30</f>
        <v>7177.04</v>
      </c>
      <c r="AO87" s="6">
        <f>OPEX!AO30</f>
        <v>7177.04</v>
      </c>
      <c r="AP87" s="18">
        <f>SUM(AD87:AO87)</f>
        <v>77793.839999999982</v>
      </c>
    </row>
    <row r="88" spans="1:42" x14ac:dyDescent="0.3">
      <c r="A88" s="1">
        <f>ROW()</f>
        <v>88</v>
      </c>
      <c r="B88" t="str">
        <f>OPEX!B31</f>
        <v>Bonussen</v>
      </c>
      <c r="C88" s="18"/>
      <c r="D88" s="6">
        <f>OPEX!D31</f>
        <v>883.33333333333337</v>
      </c>
      <c r="E88" s="6">
        <f>OPEX!E31</f>
        <v>883.33333333333337</v>
      </c>
      <c r="F88" s="6">
        <f>OPEX!F31</f>
        <v>883.33333333333337</v>
      </c>
      <c r="G88" s="6">
        <f>OPEX!G31</f>
        <v>883.33333333333337</v>
      </c>
      <c r="H88" s="6">
        <f>OPEX!H31</f>
        <v>883.33333333333337</v>
      </c>
      <c r="I88" s="6">
        <f>OPEX!I31</f>
        <v>883.33333333333337</v>
      </c>
      <c r="J88" s="6">
        <f>OPEX!J31</f>
        <v>2375</v>
      </c>
      <c r="K88" s="6">
        <f>OPEX!K31</f>
        <v>2375</v>
      </c>
      <c r="L88" s="6">
        <f>OPEX!L31</f>
        <v>2525</v>
      </c>
      <c r="M88" s="6">
        <f>OPEX!M31</f>
        <v>2525</v>
      </c>
      <c r="N88" s="6">
        <f>OPEX!N31</f>
        <v>2525</v>
      </c>
      <c r="O88" s="6">
        <f>OPEX!O31</f>
        <v>2525</v>
      </c>
      <c r="P88" s="18">
        <f t="shared" ref="P88:P96" si="187">SUM(D88:O88)</f>
        <v>20150</v>
      </c>
      <c r="Q88" s="6">
        <f>OPEX!Q31</f>
        <v>3682.2500000000005</v>
      </c>
      <c r="R88" s="6">
        <f>OPEX!R31</f>
        <v>3682.2500000000005</v>
      </c>
      <c r="S88" s="6">
        <f>OPEX!S31</f>
        <v>3682.2500000000005</v>
      </c>
      <c r="T88" s="6">
        <f>OPEX!T31</f>
        <v>4798.083333333333</v>
      </c>
      <c r="U88" s="6">
        <f>OPEX!U31</f>
        <v>5519.083333333333</v>
      </c>
      <c r="V88" s="6">
        <f>OPEX!V31</f>
        <v>5519.083333333333</v>
      </c>
      <c r="W88" s="6">
        <f>OPEX!W31</f>
        <v>5519.083333333333</v>
      </c>
      <c r="X88" s="6">
        <f>OPEX!X31</f>
        <v>5519.083333333333</v>
      </c>
      <c r="Y88" s="6">
        <f>OPEX!Y31</f>
        <v>5690.75</v>
      </c>
      <c r="Z88" s="6">
        <f>OPEX!Z31</f>
        <v>6119.9166666666661</v>
      </c>
      <c r="AA88" s="6">
        <f>OPEX!AA31</f>
        <v>6119.9166666666661</v>
      </c>
      <c r="AB88" s="6">
        <f>OPEX!AB31</f>
        <v>6119.9166666666661</v>
      </c>
      <c r="AC88" s="18">
        <f t="shared" ref="AC88:AC96" si="188">SUM(Q88:AB88)</f>
        <v>61971.666666666657</v>
      </c>
      <c r="AD88" s="6">
        <f>OPEX!AD31</f>
        <v>8823.6666666666661</v>
      </c>
      <c r="AE88" s="6">
        <f>OPEX!AE31</f>
        <v>8823.6666666666661</v>
      </c>
      <c r="AF88" s="6">
        <f>OPEX!AF31</f>
        <v>8823.6666666666661</v>
      </c>
      <c r="AG88" s="6">
        <f>OPEX!AG31</f>
        <v>9905.1666666666661</v>
      </c>
      <c r="AH88" s="6">
        <f>OPEX!AH31</f>
        <v>9905.1666666666661</v>
      </c>
      <c r="AI88" s="6">
        <f>OPEX!AI31</f>
        <v>9905.1666666666661</v>
      </c>
      <c r="AJ88" s="6">
        <f>OPEX!AJ31</f>
        <v>9905.1666666666661</v>
      </c>
      <c r="AK88" s="6">
        <f>OPEX!AK31</f>
        <v>9905.1666666666661</v>
      </c>
      <c r="AL88" s="6">
        <f>OPEX!AL31</f>
        <v>9905.1666666666661</v>
      </c>
      <c r="AM88" s="6">
        <f>OPEX!AM31</f>
        <v>11081.083333333334</v>
      </c>
      <c r="AN88" s="6">
        <f>OPEX!AN31</f>
        <v>11081.083333333334</v>
      </c>
      <c r="AO88" s="6">
        <f>OPEX!AO31</f>
        <v>11081.083333333334</v>
      </c>
      <c r="AP88" s="18">
        <f t="shared" ref="AP88:AP96" si="189">SUM(AD88:AO88)</f>
        <v>119145.24999999999</v>
      </c>
    </row>
    <row r="89" spans="1:42" x14ac:dyDescent="0.3">
      <c r="A89" s="1">
        <f>ROW()</f>
        <v>89</v>
      </c>
      <c r="B89" t="str">
        <f>OPEX!B32</f>
        <v>Pensioen</v>
      </c>
      <c r="C89" s="18"/>
      <c r="D89" s="6">
        <f>OPEX!D32</f>
        <v>208</v>
      </c>
      <c r="E89" s="6">
        <f>OPEX!E32</f>
        <v>208</v>
      </c>
      <c r="F89" s="6">
        <f>OPEX!F32</f>
        <v>208</v>
      </c>
      <c r="G89" s="6">
        <f>OPEX!G32</f>
        <v>208</v>
      </c>
      <c r="H89" s="6">
        <f>OPEX!H32</f>
        <v>208</v>
      </c>
      <c r="I89" s="6">
        <f>OPEX!I32</f>
        <v>208</v>
      </c>
      <c r="J89" s="6">
        <f>OPEX!J32</f>
        <v>1640</v>
      </c>
      <c r="K89" s="6">
        <f>OPEX!K32</f>
        <v>1640</v>
      </c>
      <c r="L89" s="6">
        <f>OPEX!L32</f>
        <v>1784</v>
      </c>
      <c r="M89" s="6">
        <f>OPEX!M32</f>
        <v>1784</v>
      </c>
      <c r="N89" s="6">
        <f>OPEX!N32</f>
        <v>1784</v>
      </c>
      <c r="O89" s="6">
        <f>OPEX!O32</f>
        <v>1784</v>
      </c>
      <c r="P89" s="18">
        <f t="shared" si="187"/>
        <v>11664</v>
      </c>
      <c r="Q89" s="6">
        <f>OPEX!Q32</f>
        <v>2463.7600000000002</v>
      </c>
      <c r="R89" s="6">
        <f>OPEX!R32</f>
        <v>2463.7600000000002</v>
      </c>
      <c r="S89" s="6">
        <f>OPEX!S32</f>
        <v>2463.7600000000002</v>
      </c>
      <c r="T89" s="6">
        <f>OPEX!T32</f>
        <v>3287.76</v>
      </c>
      <c r="U89" s="6">
        <f>OPEX!U32</f>
        <v>3650.32</v>
      </c>
      <c r="V89" s="6">
        <f>OPEX!V32</f>
        <v>3650.32</v>
      </c>
      <c r="W89" s="6">
        <f>OPEX!W32</f>
        <v>3650.32</v>
      </c>
      <c r="X89" s="6">
        <f>OPEX!X32</f>
        <v>3650.32</v>
      </c>
      <c r="Y89" s="6">
        <f>OPEX!Y32</f>
        <v>3650.32</v>
      </c>
      <c r="Z89" s="6">
        <f>OPEX!Z32</f>
        <v>4062.32</v>
      </c>
      <c r="AA89" s="6">
        <f>OPEX!AA32</f>
        <v>4062.32</v>
      </c>
      <c r="AB89" s="6">
        <f>OPEX!AB32</f>
        <v>4062.32</v>
      </c>
      <c r="AC89" s="18">
        <f t="shared" si="188"/>
        <v>41117.599999999999</v>
      </c>
      <c r="AD89" s="6">
        <f>OPEX!AD32</f>
        <v>5669.12</v>
      </c>
      <c r="AE89" s="6">
        <f>OPEX!AE32</f>
        <v>5669.12</v>
      </c>
      <c r="AF89" s="6">
        <f>OPEX!AF32</f>
        <v>5669.12</v>
      </c>
      <c r="AG89" s="6">
        <f>OPEX!AG32</f>
        <v>6542.56</v>
      </c>
      <c r="AH89" s="6">
        <f>OPEX!AH32</f>
        <v>6542.56</v>
      </c>
      <c r="AI89" s="6">
        <f>OPEX!AI32</f>
        <v>6542.56</v>
      </c>
      <c r="AJ89" s="6">
        <f>OPEX!AJ32</f>
        <v>6542.56</v>
      </c>
      <c r="AK89" s="6">
        <f>OPEX!AK32</f>
        <v>6542.56</v>
      </c>
      <c r="AL89" s="6">
        <f>OPEX!AL32</f>
        <v>6542.56</v>
      </c>
      <c r="AM89" s="6">
        <f>OPEX!AM32</f>
        <v>7177.04</v>
      </c>
      <c r="AN89" s="6">
        <f>OPEX!AN32</f>
        <v>7177.04</v>
      </c>
      <c r="AO89" s="6">
        <f>OPEX!AO32</f>
        <v>7177.04</v>
      </c>
      <c r="AP89" s="18">
        <f t="shared" si="189"/>
        <v>77793.839999999982</v>
      </c>
    </row>
    <row r="90" spans="1:42" x14ac:dyDescent="0.3">
      <c r="A90" s="1">
        <f>ROW()</f>
        <v>90</v>
      </c>
      <c r="B90" t="str">
        <f>OPEX!B33</f>
        <v>Soc. Lasten</v>
      </c>
      <c r="C90" s="18"/>
      <c r="D90" s="6">
        <f>OPEX!D33</f>
        <v>549.5533333333334</v>
      </c>
      <c r="E90" s="6">
        <f>OPEX!E33</f>
        <v>549.5533333333334</v>
      </c>
      <c r="F90" s="6">
        <f>OPEX!F33</f>
        <v>549.5533333333334</v>
      </c>
      <c r="G90" s="6">
        <f>OPEX!G33</f>
        <v>549.5533333333334</v>
      </c>
      <c r="H90" s="6">
        <f>OPEX!H33</f>
        <v>549.5533333333334</v>
      </c>
      <c r="I90" s="6">
        <f>OPEX!I33</f>
        <v>549.5533333333334</v>
      </c>
      <c r="J90" s="6">
        <f>OPEX!J33</f>
        <v>4333.0166666666664</v>
      </c>
      <c r="K90" s="6">
        <f>OPEX!K33</f>
        <v>4333.0166666666664</v>
      </c>
      <c r="L90" s="6">
        <f>OPEX!L33</f>
        <v>4713.4766666666674</v>
      </c>
      <c r="M90" s="6">
        <f>OPEX!M33</f>
        <v>4713.4766666666674</v>
      </c>
      <c r="N90" s="6">
        <f>OPEX!N33</f>
        <v>4713.4766666666674</v>
      </c>
      <c r="O90" s="6">
        <f>OPEX!O33</f>
        <v>4713.4766666666674</v>
      </c>
      <c r="P90" s="18">
        <f t="shared" si="187"/>
        <v>30817.260000000009</v>
      </c>
      <c r="Q90" s="6">
        <f>OPEX!Q33</f>
        <v>6509.4592333333349</v>
      </c>
      <c r="R90" s="6">
        <f>OPEX!R33</f>
        <v>6509.4592333333349</v>
      </c>
      <c r="S90" s="6">
        <f>OPEX!S33</f>
        <v>6509.4592333333349</v>
      </c>
      <c r="T90" s="6">
        <f>OPEX!T33</f>
        <v>8686.5358999999989</v>
      </c>
      <c r="U90" s="6">
        <f>OPEX!U33</f>
        <v>9644.4496333333318</v>
      </c>
      <c r="V90" s="6">
        <f>OPEX!V33</f>
        <v>9644.4496333333318</v>
      </c>
      <c r="W90" s="6">
        <f>OPEX!W33</f>
        <v>9644.4496333333318</v>
      </c>
      <c r="X90" s="6">
        <f>OPEX!X33</f>
        <v>9644.4496333333318</v>
      </c>
      <c r="Y90" s="6">
        <f>OPEX!Y33</f>
        <v>9644.4496333333318</v>
      </c>
      <c r="Z90" s="6">
        <f>OPEX!Z33</f>
        <v>10732.987966666667</v>
      </c>
      <c r="AA90" s="6">
        <f>OPEX!AA33</f>
        <v>10732.987966666667</v>
      </c>
      <c r="AB90" s="6">
        <f>OPEX!AB33</f>
        <v>10732.987966666667</v>
      </c>
      <c r="AC90" s="18">
        <f t="shared" si="188"/>
        <v>108636.12566666667</v>
      </c>
      <c r="AD90" s="6">
        <f>OPEX!AD33</f>
        <v>14978.287466666668</v>
      </c>
      <c r="AE90" s="6">
        <f>OPEX!AE33</f>
        <v>14978.287466666668</v>
      </c>
      <c r="AF90" s="6">
        <f>OPEX!AF33</f>
        <v>14978.287466666668</v>
      </c>
      <c r="AG90" s="6">
        <f>OPEX!AG33</f>
        <v>17285.988733333332</v>
      </c>
      <c r="AH90" s="6">
        <f>OPEX!AH33</f>
        <v>17285.988733333332</v>
      </c>
      <c r="AI90" s="6">
        <f>OPEX!AI33</f>
        <v>17285.988733333332</v>
      </c>
      <c r="AJ90" s="6">
        <f>OPEX!AJ33</f>
        <v>17285.988733333332</v>
      </c>
      <c r="AK90" s="6">
        <f>OPEX!AK33</f>
        <v>17285.988733333332</v>
      </c>
      <c r="AL90" s="6">
        <f>OPEX!AL33</f>
        <v>17285.988733333332</v>
      </c>
      <c r="AM90" s="6">
        <f>OPEX!AM33</f>
        <v>18962.337766666671</v>
      </c>
      <c r="AN90" s="6">
        <f>OPEX!AN33</f>
        <v>18962.337766666671</v>
      </c>
      <c r="AO90" s="6">
        <f>OPEX!AO33</f>
        <v>18962.337766666671</v>
      </c>
      <c r="AP90" s="18">
        <f t="shared" si="189"/>
        <v>205537.80809999999</v>
      </c>
    </row>
    <row r="91" spans="1:42" x14ac:dyDescent="0.3">
      <c r="A91" s="1">
        <f>ROW()</f>
        <v>91</v>
      </c>
      <c r="B91" t="str">
        <f>OPEX!B34</f>
        <v>Vergoedingen</v>
      </c>
      <c r="C91" s="18"/>
      <c r="D91" s="6">
        <f>OPEX!D34</f>
        <v>100</v>
      </c>
      <c r="E91" s="6">
        <f>OPEX!E34</f>
        <v>100</v>
      </c>
      <c r="F91" s="6">
        <f>OPEX!F34</f>
        <v>100</v>
      </c>
      <c r="G91" s="6">
        <f>OPEX!G34</f>
        <v>100</v>
      </c>
      <c r="H91" s="6">
        <f>OPEX!H34</f>
        <v>100</v>
      </c>
      <c r="I91" s="6">
        <f>OPEX!I34</f>
        <v>100</v>
      </c>
      <c r="J91" s="6">
        <f>OPEX!J34</f>
        <v>250</v>
      </c>
      <c r="K91" s="6">
        <f>OPEX!K34</f>
        <v>250</v>
      </c>
      <c r="L91" s="6">
        <f>OPEX!L34</f>
        <v>280</v>
      </c>
      <c r="M91" s="6">
        <f>OPEX!M34</f>
        <v>280</v>
      </c>
      <c r="N91" s="6">
        <f>OPEX!N34</f>
        <v>280</v>
      </c>
      <c r="O91" s="6">
        <f>OPEX!O34</f>
        <v>280</v>
      </c>
      <c r="P91" s="18">
        <f t="shared" si="187"/>
        <v>2220</v>
      </c>
      <c r="Q91" s="6">
        <f>OPEX!Q34</f>
        <v>400</v>
      </c>
      <c r="R91" s="6">
        <f>OPEX!R34</f>
        <v>400</v>
      </c>
      <c r="S91" s="6">
        <f>OPEX!S34</f>
        <v>400</v>
      </c>
      <c r="T91" s="6">
        <f>OPEX!T34</f>
        <v>520</v>
      </c>
      <c r="U91" s="6">
        <f>OPEX!U34</f>
        <v>600</v>
      </c>
      <c r="V91" s="6">
        <f>OPEX!V34</f>
        <v>600</v>
      </c>
      <c r="W91" s="6">
        <f>OPEX!W34</f>
        <v>600</v>
      </c>
      <c r="X91" s="6">
        <f>OPEX!X34</f>
        <v>600</v>
      </c>
      <c r="Y91" s="6">
        <f>OPEX!Y34</f>
        <v>620</v>
      </c>
      <c r="Z91" s="6">
        <f>OPEX!Z34</f>
        <v>670</v>
      </c>
      <c r="AA91" s="6">
        <f>OPEX!AA34</f>
        <v>670</v>
      </c>
      <c r="AB91" s="6">
        <f>OPEX!AB34</f>
        <v>670</v>
      </c>
      <c r="AC91" s="18">
        <f t="shared" si="188"/>
        <v>6750</v>
      </c>
      <c r="AD91" s="6">
        <f>OPEX!AD34</f>
        <v>960</v>
      </c>
      <c r="AE91" s="6">
        <f>OPEX!AE34</f>
        <v>960</v>
      </c>
      <c r="AF91" s="6">
        <f>OPEX!AF34</f>
        <v>960</v>
      </c>
      <c r="AG91" s="6">
        <f>OPEX!AG34</f>
        <v>1070</v>
      </c>
      <c r="AH91" s="6">
        <f>OPEX!AH34</f>
        <v>1070</v>
      </c>
      <c r="AI91" s="6">
        <f>OPEX!AI34</f>
        <v>1070</v>
      </c>
      <c r="AJ91" s="6">
        <f>OPEX!AJ34</f>
        <v>1070</v>
      </c>
      <c r="AK91" s="6">
        <f>OPEX!AK34</f>
        <v>1070</v>
      </c>
      <c r="AL91" s="6">
        <f>OPEX!AL34</f>
        <v>1070</v>
      </c>
      <c r="AM91" s="6">
        <f>OPEX!AM34</f>
        <v>1190</v>
      </c>
      <c r="AN91" s="6">
        <f>OPEX!AN34</f>
        <v>1190</v>
      </c>
      <c r="AO91" s="6">
        <f>OPEX!AO34</f>
        <v>1190</v>
      </c>
      <c r="AP91" s="18">
        <f t="shared" si="189"/>
        <v>12870</v>
      </c>
    </row>
    <row r="92" spans="1:42" x14ac:dyDescent="0.3">
      <c r="A92" s="1">
        <f>ROW()</f>
        <v>92</v>
      </c>
      <c r="B92" t="str">
        <f>OPEX!B35</f>
        <v>Overige personeelskosten (3%)</v>
      </c>
      <c r="C92" s="18"/>
      <c r="D92" s="6">
        <f>OPEX!D35</f>
        <v>84.24</v>
      </c>
      <c r="E92" s="6">
        <f>OPEX!E35</f>
        <v>84.24</v>
      </c>
      <c r="F92" s="6">
        <f>OPEX!F35</f>
        <v>84.24</v>
      </c>
      <c r="G92" s="6">
        <f>OPEX!G35</f>
        <v>84.24</v>
      </c>
      <c r="H92" s="6">
        <f>OPEX!H35</f>
        <v>84.24</v>
      </c>
      <c r="I92" s="6">
        <f>OPEX!I35</f>
        <v>84.24</v>
      </c>
      <c r="J92" s="6">
        <f>OPEX!J35</f>
        <v>664.19999999999993</v>
      </c>
      <c r="K92" s="6">
        <f>OPEX!K35</f>
        <v>664.19999999999993</v>
      </c>
      <c r="L92" s="6">
        <f>OPEX!L35</f>
        <v>722.52</v>
      </c>
      <c r="M92" s="6">
        <f>OPEX!M35</f>
        <v>722.52</v>
      </c>
      <c r="N92" s="6">
        <f>OPEX!N35</f>
        <v>722.52</v>
      </c>
      <c r="O92" s="6">
        <f>OPEX!O35</f>
        <v>722.52</v>
      </c>
      <c r="P92" s="18">
        <f t="shared" si="187"/>
        <v>4723.92</v>
      </c>
      <c r="Q92" s="6">
        <f>OPEX!Q35</f>
        <v>997.82280000000003</v>
      </c>
      <c r="R92" s="6">
        <f>OPEX!R35</f>
        <v>997.82280000000003</v>
      </c>
      <c r="S92" s="6">
        <f>OPEX!S35</f>
        <v>997.82280000000003</v>
      </c>
      <c r="T92" s="6">
        <f>OPEX!T35</f>
        <v>1331.5427999999999</v>
      </c>
      <c r="U92" s="6">
        <f>OPEX!U35</f>
        <v>1478.3796</v>
      </c>
      <c r="V92" s="6">
        <f>OPEX!V35</f>
        <v>1478.3796</v>
      </c>
      <c r="W92" s="6">
        <f>OPEX!W35</f>
        <v>1478.3796</v>
      </c>
      <c r="X92" s="6">
        <f>OPEX!X35</f>
        <v>1478.3796</v>
      </c>
      <c r="Y92" s="6">
        <f>OPEX!Y35</f>
        <v>1478.3796</v>
      </c>
      <c r="Z92" s="6">
        <f>OPEX!Z35</f>
        <v>1645.2395999999999</v>
      </c>
      <c r="AA92" s="6">
        <f>OPEX!AA35</f>
        <v>1645.2395999999999</v>
      </c>
      <c r="AB92" s="6">
        <f>OPEX!AB35</f>
        <v>1645.2395999999999</v>
      </c>
      <c r="AC92" s="18">
        <f t="shared" si="188"/>
        <v>16652.628000000001</v>
      </c>
      <c r="AD92" s="6">
        <f>OPEX!AD35</f>
        <v>2295.9935999999998</v>
      </c>
      <c r="AE92" s="6">
        <f>OPEX!AE35</f>
        <v>2295.9935999999998</v>
      </c>
      <c r="AF92" s="6">
        <f>OPEX!AF35</f>
        <v>2295.9935999999998</v>
      </c>
      <c r="AG92" s="6">
        <f>OPEX!AG35</f>
        <v>2649.7367999999997</v>
      </c>
      <c r="AH92" s="6">
        <f>OPEX!AH35</f>
        <v>2649.7367999999997</v>
      </c>
      <c r="AI92" s="6">
        <f>OPEX!AI35</f>
        <v>2649.7367999999997</v>
      </c>
      <c r="AJ92" s="6">
        <f>OPEX!AJ35</f>
        <v>2649.7367999999997</v>
      </c>
      <c r="AK92" s="6">
        <f>OPEX!AK35</f>
        <v>2649.7367999999997</v>
      </c>
      <c r="AL92" s="6">
        <f>OPEX!AL35</f>
        <v>2649.7367999999997</v>
      </c>
      <c r="AM92" s="6">
        <f>OPEX!AM35</f>
        <v>2906.7011999999995</v>
      </c>
      <c r="AN92" s="6">
        <f>OPEX!AN35</f>
        <v>2906.7011999999995</v>
      </c>
      <c r="AO92" s="6">
        <f>OPEX!AO35</f>
        <v>2906.7011999999995</v>
      </c>
      <c r="AP92" s="18">
        <f t="shared" si="189"/>
        <v>31506.505199999992</v>
      </c>
    </row>
    <row r="93" spans="1:42" x14ac:dyDescent="0.3">
      <c r="A93" s="1">
        <f>ROW()</f>
        <v>93</v>
      </c>
      <c r="B93" t="str">
        <f>OPEX!B36</f>
        <v>Autokosten</v>
      </c>
      <c r="C93" s="18"/>
      <c r="D93" s="6">
        <f>OPEX!D36</f>
        <v>1080</v>
      </c>
      <c r="E93" s="6">
        <f>OPEX!E36</f>
        <v>1080</v>
      </c>
      <c r="F93" s="6">
        <f>OPEX!F36</f>
        <v>1080</v>
      </c>
      <c r="G93" s="6">
        <f>OPEX!G36</f>
        <v>1080</v>
      </c>
      <c r="H93" s="6">
        <f>OPEX!H36</f>
        <v>1080</v>
      </c>
      <c r="I93" s="6">
        <f>OPEX!I36</f>
        <v>1080</v>
      </c>
      <c r="J93" s="6">
        <f>OPEX!J36</f>
        <v>2960</v>
      </c>
      <c r="K93" s="6">
        <f>OPEX!K36</f>
        <v>2960</v>
      </c>
      <c r="L93" s="6">
        <f>OPEX!L36</f>
        <v>3080</v>
      </c>
      <c r="M93" s="6">
        <f>OPEX!M36</f>
        <v>3080</v>
      </c>
      <c r="N93" s="6">
        <f>OPEX!N36</f>
        <v>3080</v>
      </c>
      <c r="O93" s="6">
        <f>OPEX!O36</f>
        <v>3080</v>
      </c>
      <c r="P93" s="18">
        <f t="shared" si="187"/>
        <v>24720</v>
      </c>
      <c r="Q93" s="6">
        <f>OPEX!Q36</f>
        <v>4440</v>
      </c>
      <c r="R93" s="6">
        <f>OPEX!R36</f>
        <v>4440</v>
      </c>
      <c r="S93" s="6">
        <f>OPEX!S36</f>
        <v>4440</v>
      </c>
      <c r="T93" s="6">
        <f>OPEX!T36</f>
        <v>5950</v>
      </c>
      <c r="U93" s="6">
        <f>OPEX!U36</f>
        <v>6770</v>
      </c>
      <c r="V93" s="6">
        <f>OPEX!V36</f>
        <v>6770</v>
      </c>
      <c r="W93" s="6">
        <f>OPEX!W36</f>
        <v>6770</v>
      </c>
      <c r="X93" s="6">
        <f>OPEX!X36</f>
        <v>6770</v>
      </c>
      <c r="Y93" s="6">
        <f>OPEX!Y36</f>
        <v>6970</v>
      </c>
      <c r="Z93" s="6">
        <f>OPEX!Z36</f>
        <v>7430</v>
      </c>
      <c r="AA93" s="6">
        <f>OPEX!AA36</f>
        <v>7430</v>
      </c>
      <c r="AB93" s="6">
        <f>OPEX!AB36</f>
        <v>7430</v>
      </c>
      <c r="AC93" s="18">
        <f t="shared" si="188"/>
        <v>75610</v>
      </c>
      <c r="AD93" s="6">
        <f>OPEX!AD36</f>
        <v>10780</v>
      </c>
      <c r="AE93" s="6">
        <f>OPEX!AE36</f>
        <v>10780</v>
      </c>
      <c r="AF93" s="6">
        <f>OPEX!AF36</f>
        <v>10780</v>
      </c>
      <c r="AG93" s="6">
        <f>OPEX!AG36</f>
        <v>12190</v>
      </c>
      <c r="AH93" s="6">
        <f>OPEX!AH36</f>
        <v>12190</v>
      </c>
      <c r="AI93" s="6">
        <f>OPEX!AI36</f>
        <v>12190</v>
      </c>
      <c r="AJ93" s="6">
        <f>OPEX!AJ36</f>
        <v>12190</v>
      </c>
      <c r="AK93" s="6">
        <f>OPEX!AK36</f>
        <v>12190</v>
      </c>
      <c r="AL93" s="6">
        <f>OPEX!AL36</f>
        <v>12190</v>
      </c>
      <c r="AM93" s="6">
        <f>OPEX!AM36</f>
        <v>13650</v>
      </c>
      <c r="AN93" s="6">
        <f>OPEX!AN36</f>
        <v>13650</v>
      </c>
      <c r="AO93" s="6">
        <f>OPEX!AO36</f>
        <v>13650</v>
      </c>
      <c r="AP93" s="18">
        <f t="shared" si="189"/>
        <v>146430</v>
      </c>
    </row>
    <row r="94" spans="1:42" x14ac:dyDescent="0.3">
      <c r="A94" s="1">
        <f>ROW()</f>
        <v>94</v>
      </c>
      <c r="B94" t="str">
        <f>OPEX!B37</f>
        <v>Brandstof</v>
      </c>
      <c r="C94" s="18"/>
      <c r="D94" s="6">
        <f>OPEX!D37</f>
        <v>220</v>
      </c>
      <c r="E94" s="6">
        <f>OPEX!E37</f>
        <v>220</v>
      </c>
      <c r="F94" s="6">
        <f>OPEX!F37</f>
        <v>220</v>
      </c>
      <c r="G94" s="6">
        <f>OPEX!G37</f>
        <v>220</v>
      </c>
      <c r="H94" s="6">
        <f>OPEX!H37</f>
        <v>220</v>
      </c>
      <c r="I94" s="6">
        <f>OPEX!I37</f>
        <v>220</v>
      </c>
      <c r="J94" s="6">
        <f>OPEX!J37</f>
        <v>550</v>
      </c>
      <c r="K94" s="6">
        <f>OPEX!K37</f>
        <v>550</v>
      </c>
      <c r="L94" s="6">
        <f>OPEX!L37</f>
        <v>550</v>
      </c>
      <c r="M94" s="6">
        <f>OPEX!M37</f>
        <v>550</v>
      </c>
      <c r="N94" s="6">
        <f>OPEX!N37</f>
        <v>550</v>
      </c>
      <c r="O94" s="6">
        <f>OPEX!O37</f>
        <v>550</v>
      </c>
      <c r="P94" s="18">
        <f t="shared" si="187"/>
        <v>4620</v>
      </c>
      <c r="Q94" s="6">
        <f>OPEX!Q37</f>
        <v>770</v>
      </c>
      <c r="R94" s="6">
        <f>OPEX!R37</f>
        <v>770</v>
      </c>
      <c r="S94" s="6">
        <f>OPEX!S37</f>
        <v>770</v>
      </c>
      <c r="T94" s="6">
        <f>OPEX!T37</f>
        <v>1040</v>
      </c>
      <c r="U94" s="6">
        <f>OPEX!U37</f>
        <v>1180</v>
      </c>
      <c r="V94" s="6">
        <f>OPEX!V37</f>
        <v>1180</v>
      </c>
      <c r="W94" s="6">
        <f>OPEX!W37</f>
        <v>1180</v>
      </c>
      <c r="X94" s="6">
        <f>OPEX!X37</f>
        <v>1180</v>
      </c>
      <c r="Y94" s="6">
        <f>OPEX!Y37</f>
        <v>1220</v>
      </c>
      <c r="Z94" s="6">
        <f>OPEX!Z37</f>
        <v>1280</v>
      </c>
      <c r="AA94" s="6">
        <f>OPEX!AA37</f>
        <v>1280</v>
      </c>
      <c r="AB94" s="6">
        <f>OPEX!AB37</f>
        <v>1280</v>
      </c>
      <c r="AC94" s="18">
        <f t="shared" si="188"/>
        <v>13130</v>
      </c>
      <c r="AD94" s="6">
        <f>OPEX!AD37</f>
        <v>1880</v>
      </c>
      <c r="AE94" s="6">
        <f>OPEX!AE37</f>
        <v>1880</v>
      </c>
      <c r="AF94" s="6">
        <f>OPEX!AF37</f>
        <v>1880</v>
      </c>
      <c r="AG94" s="6">
        <f>OPEX!AG37</f>
        <v>2130</v>
      </c>
      <c r="AH94" s="6">
        <f>OPEX!AH37</f>
        <v>2130</v>
      </c>
      <c r="AI94" s="6">
        <f>OPEX!AI37</f>
        <v>2130</v>
      </c>
      <c r="AJ94" s="6">
        <f>OPEX!AJ37</f>
        <v>2130</v>
      </c>
      <c r="AK94" s="6">
        <f>OPEX!AK37</f>
        <v>2130</v>
      </c>
      <c r="AL94" s="6">
        <f>OPEX!AL37</f>
        <v>2130</v>
      </c>
      <c r="AM94" s="6">
        <f>OPEX!AM37</f>
        <v>2400</v>
      </c>
      <c r="AN94" s="6">
        <f>OPEX!AN37</f>
        <v>2400</v>
      </c>
      <c r="AO94" s="6">
        <f>OPEX!AO37</f>
        <v>2400</v>
      </c>
      <c r="AP94" s="18">
        <f t="shared" si="189"/>
        <v>25620</v>
      </c>
    </row>
    <row r="95" spans="1:42" x14ac:dyDescent="0.3">
      <c r="A95" s="1">
        <f>ROW()</f>
        <v>95</v>
      </c>
      <c r="B95" t="str">
        <f>OPEX!B38</f>
        <v>Managementfee</v>
      </c>
      <c r="C95" s="18"/>
      <c r="D95" s="6">
        <f>OPEX!D38</f>
        <v>8000</v>
      </c>
      <c r="E95" s="6">
        <f>OPEX!E38</f>
        <v>8000</v>
      </c>
      <c r="F95" s="6">
        <f>OPEX!F38</f>
        <v>8000</v>
      </c>
      <c r="G95" s="6">
        <f>OPEX!G38</f>
        <v>8000</v>
      </c>
      <c r="H95" s="6">
        <f>OPEX!H38</f>
        <v>8000</v>
      </c>
      <c r="I95" s="6">
        <f>OPEX!I38</f>
        <v>8000</v>
      </c>
      <c r="J95" s="6">
        <f>OPEX!J38</f>
        <v>8000</v>
      </c>
      <c r="K95" s="6">
        <f>OPEX!K38</f>
        <v>8000</v>
      </c>
      <c r="L95" s="6">
        <f>OPEX!L38</f>
        <v>8000</v>
      </c>
      <c r="M95" s="6">
        <f>OPEX!M38</f>
        <v>8000</v>
      </c>
      <c r="N95" s="6">
        <f>OPEX!N38</f>
        <v>8000</v>
      </c>
      <c r="O95" s="6">
        <f>OPEX!O38</f>
        <v>8000</v>
      </c>
      <c r="P95" s="18">
        <f t="shared" si="187"/>
        <v>96000</v>
      </c>
      <c r="Q95" s="6">
        <f>OPEX!Q38</f>
        <v>13000</v>
      </c>
      <c r="R95" s="6">
        <f>OPEX!R38</f>
        <v>13000</v>
      </c>
      <c r="S95" s="6">
        <f>OPEX!S38</f>
        <v>13000</v>
      </c>
      <c r="T95" s="6">
        <f>OPEX!T38</f>
        <v>16000</v>
      </c>
      <c r="U95" s="6">
        <f>OPEX!U38</f>
        <v>20000</v>
      </c>
      <c r="V95" s="6">
        <f>OPEX!V38</f>
        <v>20000</v>
      </c>
      <c r="W95" s="6">
        <f>OPEX!W38</f>
        <v>20000</v>
      </c>
      <c r="X95" s="6">
        <f>OPEX!X38</f>
        <v>20000</v>
      </c>
      <c r="Y95" s="6">
        <f>OPEX!Y38</f>
        <v>22000</v>
      </c>
      <c r="Z95" s="6">
        <f>OPEX!Z38</f>
        <v>22000</v>
      </c>
      <c r="AA95" s="6">
        <f>OPEX!AA38</f>
        <v>22000</v>
      </c>
      <c r="AB95" s="6">
        <f>OPEX!AB38</f>
        <v>22000</v>
      </c>
      <c r="AC95" s="18">
        <f t="shared" si="188"/>
        <v>223000</v>
      </c>
      <c r="AD95" s="6">
        <f>OPEX!AD38</f>
        <v>34000</v>
      </c>
      <c r="AE95" s="6">
        <f>OPEX!AE38</f>
        <v>34000</v>
      </c>
      <c r="AF95" s="6">
        <f>OPEX!AF38</f>
        <v>34000</v>
      </c>
      <c r="AG95" s="6">
        <f>OPEX!AG38</f>
        <v>36000</v>
      </c>
      <c r="AH95" s="6">
        <f>OPEX!AH38</f>
        <v>36000</v>
      </c>
      <c r="AI95" s="6">
        <f>OPEX!AI38</f>
        <v>36000</v>
      </c>
      <c r="AJ95" s="6">
        <f>OPEX!AJ38</f>
        <v>36000</v>
      </c>
      <c r="AK95" s="6">
        <f>OPEX!AK38</f>
        <v>36000</v>
      </c>
      <c r="AL95" s="6">
        <f>OPEX!AL38</f>
        <v>36000</v>
      </c>
      <c r="AM95" s="6">
        <f>OPEX!AM38</f>
        <v>42000</v>
      </c>
      <c r="AN95" s="6">
        <f>OPEX!AN38</f>
        <v>42000</v>
      </c>
      <c r="AO95" s="6">
        <f>OPEX!AO38</f>
        <v>42000</v>
      </c>
      <c r="AP95" s="18">
        <f t="shared" si="189"/>
        <v>444000</v>
      </c>
    </row>
    <row r="96" spans="1:42" x14ac:dyDescent="0.3">
      <c r="A96" s="1">
        <f>ROW()</f>
        <v>96</v>
      </c>
      <c r="B96" s="2" t="s">
        <v>223</v>
      </c>
      <c r="C96" s="20">
        <f>SUM(C86:C95)</f>
        <v>0</v>
      </c>
      <c r="D96" s="12">
        <f>SUM(D86:D95)</f>
        <v>13933.126666666667</v>
      </c>
      <c r="E96" s="12">
        <f t="shared" ref="E96:Q96" si="190">SUM(E86:E95)</f>
        <v>13933.126666666667</v>
      </c>
      <c r="F96" s="12">
        <f t="shared" si="190"/>
        <v>13933.126666666667</v>
      </c>
      <c r="G96" s="12">
        <f t="shared" si="190"/>
        <v>13933.126666666667</v>
      </c>
      <c r="H96" s="12">
        <f t="shared" si="190"/>
        <v>13933.126666666667</v>
      </c>
      <c r="I96" s="12">
        <f t="shared" si="190"/>
        <v>13933.126666666667</v>
      </c>
      <c r="J96" s="12">
        <f t="shared" si="190"/>
        <v>42912.216666666667</v>
      </c>
      <c r="K96" s="12">
        <f t="shared" si="190"/>
        <v>42912.216666666667</v>
      </c>
      <c r="L96" s="12">
        <f t="shared" si="190"/>
        <v>45738.996666666666</v>
      </c>
      <c r="M96" s="12">
        <f t="shared" si="190"/>
        <v>45738.996666666666</v>
      </c>
      <c r="N96" s="12">
        <f t="shared" si="190"/>
        <v>45738.996666666666</v>
      </c>
      <c r="O96" s="12">
        <f t="shared" si="190"/>
        <v>45738.996666666666</v>
      </c>
      <c r="P96" s="20">
        <f t="shared" si="187"/>
        <v>352379.18</v>
      </c>
      <c r="Q96" s="12">
        <f t="shared" si="190"/>
        <v>65524.052033333341</v>
      </c>
      <c r="R96" s="12">
        <f t="shared" ref="R96" si="191">SUM(R86:R95)</f>
        <v>65524.052033333341</v>
      </c>
      <c r="S96" s="12">
        <f t="shared" ref="S96" si="192">SUM(S86:S95)</f>
        <v>65524.052033333341</v>
      </c>
      <c r="T96" s="12">
        <f t="shared" ref="T96" si="193">SUM(T86:T95)</f>
        <v>85998.682033333345</v>
      </c>
      <c r="U96" s="12">
        <f t="shared" ref="U96" si="194">SUM(U86:U95)</f>
        <v>98121.552566666665</v>
      </c>
      <c r="V96" s="12">
        <f t="shared" ref="V96" si="195">SUM(V86:V95)</f>
        <v>98121.552566666665</v>
      </c>
      <c r="W96" s="12">
        <f t="shared" ref="W96" si="196">SUM(W86:W95)</f>
        <v>98121.552566666665</v>
      </c>
      <c r="X96" s="12">
        <f t="shared" ref="X96" si="197">SUM(X86:X95)</f>
        <v>98121.552566666665</v>
      </c>
      <c r="Y96" s="12">
        <f t="shared" ref="Y96" si="198">SUM(Y86:Y95)</f>
        <v>100553.21923333334</v>
      </c>
      <c r="Z96" s="12">
        <f t="shared" ref="Z96" si="199">SUM(Z86:Z95)</f>
        <v>108781.78423333334</v>
      </c>
      <c r="AA96" s="12">
        <f t="shared" ref="AA96" si="200">SUM(AA86:AA95)</f>
        <v>108781.78423333334</v>
      </c>
      <c r="AB96" s="12">
        <f t="shared" ref="AB96" si="201">SUM(AB86:AB95)</f>
        <v>108781.78423333334</v>
      </c>
      <c r="AC96" s="20">
        <f t="shared" si="188"/>
        <v>1101955.6203333333</v>
      </c>
      <c r="AD96" s="12">
        <f t="shared" ref="AD96:AO96" si="202">SUM(AD86:AD95)</f>
        <v>155920.18773333333</v>
      </c>
      <c r="AE96" s="12">
        <f t="shared" si="202"/>
        <v>155920.18773333333</v>
      </c>
      <c r="AF96" s="12">
        <f t="shared" si="202"/>
        <v>155920.18773333333</v>
      </c>
      <c r="AG96" s="12">
        <f t="shared" si="202"/>
        <v>176098.0122</v>
      </c>
      <c r="AH96" s="12">
        <f t="shared" si="202"/>
        <v>176098.0122</v>
      </c>
      <c r="AI96" s="12">
        <f t="shared" si="202"/>
        <v>176098.0122</v>
      </c>
      <c r="AJ96" s="12">
        <f t="shared" si="202"/>
        <v>176098.0122</v>
      </c>
      <c r="AK96" s="12">
        <f t="shared" si="202"/>
        <v>176098.0122</v>
      </c>
      <c r="AL96" s="12">
        <f t="shared" si="202"/>
        <v>176098.0122</v>
      </c>
      <c r="AM96" s="12">
        <f t="shared" si="202"/>
        <v>196257.2023</v>
      </c>
      <c r="AN96" s="12">
        <f t="shared" si="202"/>
        <v>196257.2023</v>
      </c>
      <c r="AO96" s="12">
        <f t="shared" si="202"/>
        <v>196257.2023</v>
      </c>
      <c r="AP96" s="20">
        <f t="shared" si="189"/>
        <v>2113120.2433000002</v>
      </c>
    </row>
    <row r="97" spans="1:42" x14ac:dyDescent="0.3">
      <c r="A97" s="1">
        <f>ROW()</f>
        <v>97</v>
      </c>
      <c r="C97" s="17"/>
      <c r="P97" s="17"/>
      <c r="AC97" s="17"/>
      <c r="AP97" s="17"/>
    </row>
    <row r="98" spans="1:42" x14ac:dyDescent="0.3">
      <c r="A98" s="1">
        <f>ROW()</f>
        <v>98</v>
      </c>
      <c r="B98" s="2" t="s">
        <v>224</v>
      </c>
      <c r="C98" s="17"/>
      <c r="P98" s="17"/>
      <c r="AC98" s="17"/>
      <c r="AP98" s="17"/>
    </row>
    <row r="99" spans="1:42" x14ac:dyDescent="0.3">
      <c r="A99" s="1">
        <f>ROW()</f>
        <v>99</v>
      </c>
      <c r="B99" t="str">
        <f>OPEX!B41</f>
        <v>Huisvesting</v>
      </c>
      <c r="C99" s="18"/>
      <c r="D99" s="6">
        <f>OPEX!D41</f>
        <v>2200</v>
      </c>
      <c r="E99" s="6">
        <f>OPEX!E41</f>
        <v>2200</v>
      </c>
      <c r="F99" s="6">
        <f>OPEX!F41</f>
        <v>2200</v>
      </c>
      <c r="G99" s="6">
        <f>OPEX!G41</f>
        <v>2200</v>
      </c>
      <c r="H99" s="6">
        <f>OPEX!H41</f>
        <v>2200</v>
      </c>
      <c r="I99" s="6">
        <f>OPEX!I41</f>
        <v>2200</v>
      </c>
      <c r="J99" s="6">
        <f>OPEX!J41</f>
        <v>3850</v>
      </c>
      <c r="K99" s="6">
        <f>OPEX!K41</f>
        <v>3850</v>
      </c>
      <c r="L99" s="6">
        <f>OPEX!L41</f>
        <v>3850</v>
      </c>
      <c r="M99" s="6">
        <f>OPEX!M41</f>
        <v>3850</v>
      </c>
      <c r="N99" s="6">
        <f>OPEX!N41</f>
        <v>3850</v>
      </c>
      <c r="O99" s="6">
        <f>OPEX!O41</f>
        <v>3850</v>
      </c>
      <c r="P99" s="18">
        <f t="shared" ref="P99:P103" si="203">SUM(D99:O99)</f>
        <v>36300</v>
      </c>
      <c r="Q99" s="6">
        <f>OPEX!Q41</f>
        <v>3965.5</v>
      </c>
      <c r="R99" s="6">
        <f>OPEX!R41</f>
        <v>3965.5</v>
      </c>
      <c r="S99" s="6">
        <f>OPEX!S41</f>
        <v>3965.5</v>
      </c>
      <c r="T99" s="6">
        <f>OPEX!T41</f>
        <v>3965.5</v>
      </c>
      <c r="U99" s="6">
        <f>OPEX!U41</f>
        <v>3965.5</v>
      </c>
      <c r="V99" s="6">
        <f>OPEX!V41</f>
        <v>7700</v>
      </c>
      <c r="W99" s="6">
        <f>OPEX!W41</f>
        <v>7700</v>
      </c>
      <c r="X99" s="6">
        <f>OPEX!X41</f>
        <v>7700</v>
      </c>
      <c r="Y99" s="6">
        <f>OPEX!Y41</f>
        <v>7700</v>
      </c>
      <c r="Z99" s="6">
        <f>OPEX!Z41</f>
        <v>7700</v>
      </c>
      <c r="AA99" s="6">
        <f>OPEX!AA41</f>
        <v>7700</v>
      </c>
      <c r="AB99" s="6">
        <f>OPEX!AB41</f>
        <v>7700</v>
      </c>
      <c r="AC99" s="18">
        <f t="shared" ref="AC99:AC103" si="204">SUM(Q99:AB99)</f>
        <v>73727.5</v>
      </c>
      <c r="AD99" s="6">
        <f>OPEX!AD41</f>
        <v>11231</v>
      </c>
      <c r="AE99" s="6">
        <f>OPEX!AE41</f>
        <v>11231</v>
      </c>
      <c r="AF99" s="6">
        <f>OPEX!AF41</f>
        <v>11231</v>
      </c>
      <c r="AG99" s="6">
        <f>OPEX!AG41</f>
        <v>11231</v>
      </c>
      <c r="AH99" s="6">
        <f>OPEX!AH41</f>
        <v>11231</v>
      </c>
      <c r="AI99" s="6">
        <f>OPEX!AI41</f>
        <v>11231</v>
      </c>
      <c r="AJ99" s="6">
        <f>OPEX!AJ41</f>
        <v>11231</v>
      </c>
      <c r="AK99" s="6">
        <f>OPEX!AK41</f>
        <v>11231</v>
      </c>
      <c r="AL99" s="6">
        <f>OPEX!AL41</f>
        <v>11231</v>
      </c>
      <c r="AM99" s="6">
        <f>OPEX!AM41</f>
        <v>11231</v>
      </c>
      <c r="AN99" s="6">
        <f>OPEX!AN41</f>
        <v>11231</v>
      </c>
      <c r="AO99" s="6">
        <f>OPEX!AO41</f>
        <v>11231</v>
      </c>
      <c r="AP99" s="18">
        <f t="shared" ref="AP99:AP103" si="205">SUM(AD99:AO99)</f>
        <v>134772</v>
      </c>
    </row>
    <row r="100" spans="1:42" x14ac:dyDescent="0.3">
      <c r="A100" s="1">
        <f>ROW()</f>
        <v>100</v>
      </c>
      <c r="B100" t="str">
        <f>OPEX!B45</f>
        <v>Algemene kosten</v>
      </c>
      <c r="C100" s="18">
        <v>15000</v>
      </c>
      <c r="D100" s="6">
        <f>OPEX!D45</f>
        <v>1475</v>
      </c>
      <c r="E100" s="6">
        <f>OPEX!E45</f>
        <v>1475</v>
      </c>
      <c r="F100" s="6">
        <f>OPEX!F45</f>
        <v>1475</v>
      </c>
      <c r="G100" s="6">
        <f>OPEX!G45</f>
        <v>1475</v>
      </c>
      <c r="H100" s="6">
        <f>OPEX!H45</f>
        <v>1475</v>
      </c>
      <c r="I100" s="6">
        <f>OPEX!I45</f>
        <v>1475</v>
      </c>
      <c r="J100" s="6">
        <f>OPEX!J45</f>
        <v>1475</v>
      </c>
      <c r="K100" s="6">
        <f>OPEX!K45</f>
        <v>1475</v>
      </c>
      <c r="L100" s="6">
        <f>OPEX!L45</f>
        <v>1475</v>
      </c>
      <c r="M100" s="6">
        <f>OPEX!M45</f>
        <v>1475</v>
      </c>
      <c r="N100" s="6">
        <f>OPEX!N45</f>
        <v>1475</v>
      </c>
      <c r="O100" s="6">
        <f>OPEX!O45</f>
        <v>1475</v>
      </c>
      <c r="P100" s="18">
        <f t="shared" si="203"/>
        <v>17700</v>
      </c>
      <c r="Q100" s="6">
        <f>OPEX!Q45</f>
        <v>3038.5</v>
      </c>
      <c r="R100" s="6">
        <f>OPEX!R45</f>
        <v>3038.5</v>
      </c>
      <c r="S100" s="6">
        <f>OPEX!S45</f>
        <v>3038.5</v>
      </c>
      <c r="T100" s="6">
        <f>OPEX!T45</f>
        <v>3038.5</v>
      </c>
      <c r="U100" s="6">
        <f>OPEX!U45</f>
        <v>3038.5</v>
      </c>
      <c r="V100" s="6">
        <f>OPEX!V45</f>
        <v>3038.5</v>
      </c>
      <c r="W100" s="6">
        <f>OPEX!W45</f>
        <v>3038.5</v>
      </c>
      <c r="X100" s="6">
        <f>OPEX!X45</f>
        <v>3038.5</v>
      </c>
      <c r="Y100" s="6">
        <f>OPEX!Y45</f>
        <v>3038.5</v>
      </c>
      <c r="Z100" s="6">
        <f>OPEX!Z45</f>
        <v>3038.5</v>
      </c>
      <c r="AA100" s="6">
        <f>OPEX!AA45</f>
        <v>3038.5</v>
      </c>
      <c r="AB100" s="6">
        <f>OPEX!AB45</f>
        <v>3038.5</v>
      </c>
      <c r="AC100" s="18">
        <f t="shared" si="204"/>
        <v>36462</v>
      </c>
      <c r="AD100" s="6">
        <f>OPEX!AD45</f>
        <v>6259.3099999999995</v>
      </c>
      <c r="AE100" s="6">
        <f>OPEX!AE45</f>
        <v>6259.3099999999995</v>
      </c>
      <c r="AF100" s="6">
        <f>OPEX!AF45</f>
        <v>6259.3099999999995</v>
      </c>
      <c r="AG100" s="6">
        <f>OPEX!AG45</f>
        <v>6259.3099999999995</v>
      </c>
      <c r="AH100" s="6">
        <f>OPEX!AH45</f>
        <v>6259.3099999999995</v>
      </c>
      <c r="AI100" s="6">
        <f>OPEX!AI45</f>
        <v>6259.3099999999995</v>
      </c>
      <c r="AJ100" s="6">
        <f>OPEX!AJ45</f>
        <v>6259.3099999999995</v>
      </c>
      <c r="AK100" s="6">
        <f>OPEX!AK45</f>
        <v>6259.3099999999995</v>
      </c>
      <c r="AL100" s="6">
        <f>OPEX!AL45</f>
        <v>6259.3099999999995</v>
      </c>
      <c r="AM100" s="6">
        <f>OPEX!AM45</f>
        <v>6259.3099999999995</v>
      </c>
      <c r="AN100" s="6">
        <f>OPEX!AN45</f>
        <v>6259.3099999999995</v>
      </c>
      <c r="AO100" s="6">
        <f>OPEX!AO45</f>
        <v>6259.3099999999995</v>
      </c>
      <c r="AP100" s="18">
        <f t="shared" si="205"/>
        <v>75111.719999999987</v>
      </c>
    </row>
    <row r="101" spans="1:42" x14ac:dyDescent="0.3">
      <c r="A101" s="1">
        <f>ROW()</f>
        <v>101</v>
      </c>
      <c r="B101" t="str">
        <f>OPEX!B52</f>
        <v>Marketing</v>
      </c>
      <c r="C101" s="18"/>
      <c r="D101" s="6">
        <f>OPEX!D52</f>
        <v>1521.6666666666667</v>
      </c>
      <c r="E101" s="6">
        <f>OPEX!E52</f>
        <v>1521.6666666666667</v>
      </c>
      <c r="F101" s="6">
        <f>OPEX!F52</f>
        <v>1521.6666666666667</v>
      </c>
      <c r="G101" s="6">
        <f>OPEX!G52</f>
        <v>1521.6666666666667</v>
      </c>
      <c r="H101" s="6">
        <f>OPEX!H52</f>
        <v>1521.6666666666667</v>
      </c>
      <c r="I101" s="6">
        <f>OPEX!I52</f>
        <v>1521.6666666666667</v>
      </c>
      <c r="J101" s="6">
        <f>OPEX!J52</f>
        <v>1521.6666666666667</v>
      </c>
      <c r="K101" s="6">
        <f>OPEX!K52</f>
        <v>1521.6666666666667</v>
      </c>
      <c r="L101" s="6">
        <f>OPEX!L52</f>
        <v>1521.6666666666667</v>
      </c>
      <c r="M101" s="6">
        <f>OPEX!M52</f>
        <v>1521.6666666666667</v>
      </c>
      <c r="N101" s="6">
        <f>OPEX!N52</f>
        <v>1521.6666666666667</v>
      </c>
      <c r="O101" s="6">
        <f>OPEX!O52</f>
        <v>1521.6666666666667</v>
      </c>
      <c r="P101" s="18">
        <f t="shared" si="203"/>
        <v>18260</v>
      </c>
      <c r="Q101" s="6">
        <f>OPEX!Q52</f>
        <v>3134.6333333333337</v>
      </c>
      <c r="R101" s="6">
        <f>OPEX!R52</f>
        <v>3134.6333333333337</v>
      </c>
      <c r="S101" s="6">
        <f>OPEX!S52</f>
        <v>3134.6333333333337</v>
      </c>
      <c r="T101" s="6">
        <f>OPEX!T52</f>
        <v>3134.6333333333337</v>
      </c>
      <c r="U101" s="6">
        <f>OPEX!U52</f>
        <v>3134.6333333333337</v>
      </c>
      <c r="V101" s="6">
        <f>OPEX!V52</f>
        <v>3134.6333333333337</v>
      </c>
      <c r="W101" s="6">
        <f>OPEX!W52</f>
        <v>3134.6333333333337</v>
      </c>
      <c r="X101" s="6">
        <f>OPEX!X52</f>
        <v>3134.6333333333337</v>
      </c>
      <c r="Y101" s="6">
        <f>OPEX!Y52</f>
        <v>3134.6333333333337</v>
      </c>
      <c r="Z101" s="6">
        <f>OPEX!Z52</f>
        <v>3134.6333333333337</v>
      </c>
      <c r="AA101" s="6">
        <f>OPEX!AA52</f>
        <v>3134.6333333333337</v>
      </c>
      <c r="AB101" s="6">
        <f>OPEX!AB52</f>
        <v>3134.6333333333337</v>
      </c>
      <c r="AC101" s="18">
        <f t="shared" si="204"/>
        <v>37615.600000000006</v>
      </c>
      <c r="AD101" s="6">
        <f>OPEX!AD52</f>
        <v>7157.5386666666682</v>
      </c>
      <c r="AE101" s="6">
        <f>OPEX!AE52</f>
        <v>7157.5386666666682</v>
      </c>
      <c r="AF101" s="6">
        <f>OPEX!AF52</f>
        <v>7157.5386666666682</v>
      </c>
      <c r="AG101" s="6">
        <f>OPEX!AG52</f>
        <v>7157.5386666666682</v>
      </c>
      <c r="AH101" s="6">
        <f>OPEX!AH52</f>
        <v>7157.5386666666682</v>
      </c>
      <c r="AI101" s="6">
        <f>OPEX!AI52</f>
        <v>7157.5386666666682</v>
      </c>
      <c r="AJ101" s="6">
        <f>OPEX!AJ52</f>
        <v>7157.5386666666682</v>
      </c>
      <c r="AK101" s="6">
        <f>OPEX!AK52</f>
        <v>7157.5386666666682</v>
      </c>
      <c r="AL101" s="6">
        <f>OPEX!AL52</f>
        <v>7157.5386666666682</v>
      </c>
      <c r="AM101" s="6">
        <f>OPEX!AM52</f>
        <v>7157.5386666666682</v>
      </c>
      <c r="AN101" s="6">
        <f>OPEX!AN52</f>
        <v>7157.5386666666682</v>
      </c>
      <c r="AO101" s="6">
        <f>OPEX!AO52</f>
        <v>7157.5386666666682</v>
      </c>
      <c r="AP101" s="18">
        <f t="shared" si="205"/>
        <v>85890.464000000036</v>
      </c>
    </row>
    <row r="102" spans="1:42" x14ac:dyDescent="0.3">
      <c r="A102" s="1">
        <f>ROW()</f>
        <v>102</v>
      </c>
      <c r="B102" t="str">
        <f>OPEX!B61</f>
        <v>Automatisering</v>
      </c>
      <c r="C102" s="18"/>
      <c r="D102" s="6">
        <f>OPEX!D61</f>
        <v>1650</v>
      </c>
      <c r="E102" s="6">
        <f>OPEX!E61</f>
        <v>1650</v>
      </c>
      <c r="F102" s="6">
        <f>OPEX!F61</f>
        <v>1650</v>
      </c>
      <c r="G102" s="6">
        <f>OPEX!G61</f>
        <v>1650</v>
      </c>
      <c r="H102" s="6">
        <f>OPEX!H61</f>
        <v>1650</v>
      </c>
      <c r="I102" s="6">
        <f>OPEX!I61</f>
        <v>1650</v>
      </c>
      <c r="J102" s="6">
        <f>OPEX!J61</f>
        <v>1980</v>
      </c>
      <c r="K102" s="6">
        <f>OPEX!K61</f>
        <v>1980</v>
      </c>
      <c r="L102" s="6">
        <f>OPEX!L61</f>
        <v>2046</v>
      </c>
      <c r="M102" s="6">
        <f>OPEX!M61</f>
        <v>2046</v>
      </c>
      <c r="N102" s="6">
        <f>OPEX!N61</f>
        <v>2046</v>
      </c>
      <c r="O102" s="6">
        <f>OPEX!O61</f>
        <v>2046</v>
      </c>
      <c r="P102" s="18">
        <f t="shared" si="203"/>
        <v>22044</v>
      </c>
      <c r="Q102" s="6">
        <f>OPEX!Q61</f>
        <v>2590.665</v>
      </c>
      <c r="R102" s="6">
        <f>OPEX!R61</f>
        <v>2590.665</v>
      </c>
      <c r="S102" s="6">
        <f>OPEX!S61</f>
        <v>2590.665</v>
      </c>
      <c r="T102" s="6">
        <f>OPEX!T61</f>
        <v>2821.6649999999995</v>
      </c>
      <c r="U102" s="6">
        <f>OPEX!U61</f>
        <v>2953.665</v>
      </c>
      <c r="V102" s="6">
        <f>OPEX!V61</f>
        <v>2953.665</v>
      </c>
      <c r="W102" s="6">
        <f>OPEX!W61</f>
        <v>2953.665</v>
      </c>
      <c r="X102" s="6">
        <f>OPEX!X61</f>
        <v>2953.665</v>
      </c>
      <c r="Y102" s="6">
        <f>OPEX!Y61</f>
        <v>2975.6649999999995</v>
      </c>
      <c r="Z102" s="6">
        <f>OPEX!Z61</f>
        <v>3085.6649999999995</v>
      </c>
      <c r="AA102" s="6">
        <f>OPEX!AA61</f>
        <v>3085.6649999999995</v>
      </c>
      <c r="AB102" s="6">
        <f>OPEX!AB61</f>
        <v>3085.6649999999995</v>
      </c>
      <c r="AC102" s="18">
        <f t="shared" si="204"/>
        <v>34640.980000000003</v>
      </c>
      <c r="AD102" s="6">
        <f>OPEX!AD61</f>
        <v>3642.3249499999997</v>
      </c>
      <c r="AE102" s="6">
        <f>OPEX!AE61</f>
        <v>3642.3249499999997</v>
      </c>
      <c r="AF102" s="6">
        <f>OPEX!AF61</f>
        <v>3642.3249499999997</v>
      </c>
      <c r="AG102" s="6">
        <f>OPEX!AG61</f>
        <v>3862.3249499999997</v>
      </c>
      <c r="AH102" s="6">
        <f>OPEX!AH61</f>
        <v>3862.3249499999997</v>
      </c>
      <c r="AI102" s="6">
        <f>OPEX!AI61</f>
        <v>3862.3249499999997</v>
      </c>
      <c r="AJ102" s="6">
        <f>OPEX!AJ61</f>
        <v>3862.3249499999997</v>
      </c>
      <c r="AK102" s="6">
        <f>OPEX!AK61</f>
        <v>3862.3249499999997</v>
      </c>
      <c r="AL102" s="6">
        <f>OPEX!AL61</f>
        <v>3862.3249499999997</v>
      </c>
      <c r="AM102" s="6">
        <f>OPEX!AM61</f>
        <v>4060.3249499999997</v>
      </c>
      <c r="AN102" s="6">
        <f>OPEX!AN61</f>
        <v>4060.3249499999997</v>
      </c>
      <c r="AO102" s="6">
        <f>OPEX!AO61</f>
        <v>4060.3249499999997</v>
      </c>
      <c r="AP102" s="18">
        <f t="shared" si="205"/>
        <v>46281.899400000002</v>
      </c>
    </row>
    <row r="103" spans="1:42" x14ac:dyDescent="0.3">
      <c r="A103" s="1">
        <f>ROW()</f>
        <v>103</v>
      </c>
      <c r="B103" s="2" t="s">
        <v>225</v>
      </c>
      <c r="C103" s="20">
        <f>SUM(C99:C102)</f>
        <v>15000</v>
      </c>
      <c r="D103" s="12">
        <f>SUM(D99:D102)</f>
        <v>6846.666666666667</v>
      </c>
      <c r="E103" s="12">
        <f t="shared" ref="E103:Q103" si="206">SUM(E99:E102)</f>
        <v>6846.666666666667</v>
      </c>
      <c r="F103" s="12">
        <f t="shared" si="206"/>
        <v>6846.666666666667</v>
      </c>
      <c r="G103" s="12">
        <f t="shared" si="206"/>
        <v>6846.666666666667</v>
      </c>
      <c r="H103" s="12">
        <f t="shared" si="206"/>
        <v>6846.666666666667</v>
      </c>
      <c r="I103" s="12">
        <f t="shared" si="206"/>
        <v>6846.666666666667</v>
      </c>
      <c r="J103" s="12">
        <f t="shared" si="206"/>
        <v>8826.6666666666679</v>
      </c>
      <c r="K103" s="12">
        <f t="shared" si="206"/>
        <v>8826.6666666666679</v>
      </c>
      <c r="L103" s="12">
        <f t="shared" si="206"/>
        <v>8892.6666666666679</v>
      </c>
      <c r="M103" s="12">
        <f t="shared" si="206"/>
        <v>8892.6666666666679</v>
      </c>
      <c r="N103" s="12">
        <f t="shared" si="206"/>
        <v>8892.6666666666679</v>
      </c>
      <c r="O103" s="12">
        <f t="shared" si="206"/>
        <v>8892.6666666666679</v>
      </c>
      <c r="P103" s="20">
        <f t="shared" si="203"/>
        <v>94304.000000000029</v>
      </c>
      <c r="Q103" s="12">
        <f t="shared" si="206"/>
        <v>12729.298333333332</v>
      </c>
      <c r="R103" s="12">
        <f t="shared" ref="R103" si="207">SUM(R99:R102)</f>
        <v>12729.298333333332</v>
      </c>
      <c r="S103" s="12">
        <f t="shared" ref="S103" si="208">SUM(S99:S102)</f>
        <v>12729.298333333332</v>
      </c>
      <c r="T103" s="12">
        <f t="shared" ref="T103" si="209">SUM(T99:T102)</f>
        <v>12960.298333333332</v>
      </c>
      <c r="U103" s="12">
        <f t="shared" ref="U103" si="210">SUM(U99:U102)</f>
        <v>13092.298333333332</v>
      </c>
      <c r="V103" s="12">
        <f t="shared" ref="V103" si="211">SUM(V99:V102)</f>
        <v>16826.798333333332</v>
      </c>
      <c r="W103" s="12">
        <f t="shared" ref="W103" si="212">SUM(W99:W102)</f>
        <v>16826.798333333332</v>
      </c>
      <c r="X103" s="12">
        <f t="shared" ref="X103" si="213">SUM(X99:X102)</f>
        <v>16826.798333333332</v>
      </c>
      <c r="Y103" s="12">
        <f t="shared" ref="Y103" si="214">SUM(Y99:Y102)</f>
        <v>16848.798333333332</v>
      </c>
      <c r="Z103" s="12">
        <f t="shared" ref="Z103" si="215">SUM(Z99:Z102)</f>
        <v>16958.798333333332</v>
      </c>
      <c r="AA103" s="12">
        <f t="shared" ref="AA103" si="216">SUM(AA99:AA102)</f>
        <v>16958.798333333332</v>
      </c>
      <c r="AB103" s="12">
        <f t="shared" ref="AB103" si="217">SUM(AB99:AB102)</f>
        <v>16958.798333333332</v>
      </c>
      <c r="AC103" s="20">
        <f t="shared" si="204"/>
        <v>182446.08000000002</v>
      </c>
      <c r="AD103" s="12">
        <f t="shared" ref="AD103:AO103" si="218">SUM(AD99:AD102)</f>
        <v>28290.173616666663</v>
      </c>
      <c r="AE103" s="12">
        <f t="shared" si="218"/>
        <v>28290.173616666663</v>
      </c>
      <c r="AF103" s="12">
        <f t="shared" si="218"/>
        <v>28290.173616666663</v>
      </c>
      <c r="AG103" s="12">
        <f t="shared" si="218"/>
        <v>28510.173616666663</v>
      </c>
      <c r="AH103" s="12">
        <f t="shared" si="218"/>
        <v>28510.173616666663</v>
      </c>
      <c r="AI103" s="12">
        <f t="shared" si="218"/>
        <v>28510.173616666663</v>
      </c>
      <c r="AJ103" s="12">
        <f t="shared" si="218"/>
        <v>28510.173616666663</v>
      </c>
      <c r="AK103" s="12">
        <f t="shared" si="218"/>
        <v>28510.173616666663</v>
      </c>
      <c r="AL103" s="12">
        <f t="shared" si="218"/>
        <v>28510.173616666663</v>
      </c>
      <c r="AM103" s="12">
        <f t="shared" si="218"/>
        <v>28708.173616666663</v>
      </c>
      <c r="AN103" s="12">
        <f t="shared" si="218"/>
        <v>28708.173616666663</v>
      </c>
      <c r="AO103" s="12">
        <f t="shared" si="218"/>
        <v>28708.173616666663</v>
      </c>
      <c r="AP103" s="20">
        <f t="shared" si="205"/>
        <v>342056.08339999989</v>
      </c>
    </row>
    <row r="104" spans="1:42" x14ac:dyDescent="0.3">
      <c r="C104" s="17"/>
      <c r="P104" s="17"/>
      <c r="AC104" s="17"/>
      <c r="AP104" s="17"/>
    </row>
    <row r="105" spans="1:42" x14ac:dyDescent="0.3">
      <c r="B105" s="2" t="s">
        <v>226</v>
      </c>
      <c r="C105" s="20">
        <f>C79-C83-C96-C103</f>
        <v>-15000</v>
      </c>
      <c r="D105" s="12">
        <f>D79-D83-D96-D103</f>
        <v>-779.79333333333398</v>
      </c>
      <c r="E105" s="12">
        <f t="shared" ref="E105:O105" si="219">E79-E83-E96-E103</f>
        <v>-779.79333333333398</v>
      </c>
      <c r="F105" s="12">
        <f t="shared" si="219"/>
        <v>9220.2066666666651</v>
      </c>
      <c r="G105" s="12">
        <f t="shared" si="219"/>
        <v>470.20666666666602</v>
      </c>
      <c r="H105" s="12">
        <f t="shared" si="219"/>
        <v>470.20666666666602</v>
      </c>
      <c r="I105" s="12">
        <f t="shared" si="219"/>
        <v>12970.206666666665</v>
      </c>
      <c r="J105" s="12">
        <f t="shared" si="219"/>
        <v>-20368.883333333335</v>
      </c>
      <c r="K105" s="12">
        <f t="shared" si="219"/>
        <v>-20368.883333333335</v>
      </c>
      <c r="L105" s="12">
        <f t="shared" si="219"/>
        <v>-761.66333333333387</v>
      </c>
      <c r="M105" s="12">
        <f t="shared" si="219"/>
        <v>-4161.6633333333339</v>
      </c>
      <c r="N105" s="12">
        <f t="shared" si="219"/>
        <v>-4161.6633333333339</v>
      </c>
      <c r="O105" s="12">
        <f t="shared" si="219"/>
        <v>28338.336666666666</v>
      </c>
      <c r="P105" s="20">
        <f>SUM(D105:O105)</f>
        <v>86.819999999988795</v>
      </c>
      <c r="Q105" s="12">
        <f t="shared" ref="Q105:AB105" si="220">Q79-Q83-Q96-Q103</f>
        <v>3954.1496333333271</v>
      </c>
      <c r="R105" s="12">
        <f t="shared" si="220"/>
        <v>13954.149633333327</v>
      </c>
      <c r="S105" s="12">
        <f t="shared" si="220"/>
        <v>25541.649633333327</v>
      </c>
      <c r="T105" s="12">
        <f t="shared" si="220"/>
        <v>17056.019633333322</v>
      </c>
      <c r="U105" s="12">
        <f t="shared" si="220"/>
        <v>13888.649100000002</v>
      </c>
      <c r="V105" s="12">
        <f t="shared" si="220"/>
        <v>11179.149100000002</v>
      </c>
      <c r="W105" s="12">
        <f t="shared" si="220"/>
        <v>11179.149100000002</v>
      </c>
      <c r="X105" s="12">
        <f t="shared" si="220"/>
        <v>21179.149100000002</v>
      </c>
      <c r="Y105" s="12">
        <f t="shared" si="220"/>
        <v>27812.982433333331</v>
      </c>
      <c r="Z105" s="12">
        <f t="shared" si="220"/>
        <v>20499.417433333329</v>
      </c>
      <c r="AA105" s="12">
        <f t="shared" si="220"/>
        <v>20499.417433333329</v>
      </c>
      <c r="AB105" s="12">
        <f t="shared" si="220"/>
        <v>80499.417433333321</v>
      </c>
      <c r="AC105" s="20">
        <f>SUM(Q105:AB105)</f>
        <v>267243.29966666666</v>
      </c>
      <c r="AD105" s="12">
        <f t="shared" ref="AD105:AN105" si="221">AD79-AD83-AD96-AD103</f>
        <v>34948.388650000008</v>
      </c>
      <c r="AE105" s="12">
        <f t="shared" si="221"/>
        <v>44948.388650000008</v>
      </c>
      <c r="AF105" s="12">
        <f t="shared" si="221"/>
        <v>56890.263650000008</v>
      </c>
      <c r="AG105" s="12">
        <f t="shared" si="221"/>
        <v>49604.939183333336</v>
      </c>
      <c r="AH105" s="12">
        <f t="shared" si="221"/>
        <v>59046.814183333336</v>
      </c>
      <c r="AI105" s="12">
        <f t="shared" si="221"/>
        <v>60780.564183333336</v>
      </c>
      <c r="AJ105" s="12">
        <f t="shared" si="221"/>
        <v>60780.564183333336</v>
      </c>
      <c r="AK105" s="12">
        <f t="shared" si="221"/>
        <v>70780.564183333336</v>
      </c>
      <c r="AL105" s="12">
        <f t="shared" si="221"/>
        <v>80222.439183333336</v>
      </c>
      <c r="AM105" s="12">
        <f t="shared" si="221"/>
        <v>61598.999083333329</v>
      </c>
      <c r="AN105" s="12">
        <f t="shared" si="221"/>
        <v>61598.999083333329</v>
      </c>
      <c r="AO105" s="12">
        <f>AO79-AO83-AO96-AO103</f>
        <v>61598.999083333329</v>
      </c>
      <c r="AP105" s="20">
        <f>SUM(AD105:AO105)</f>
        <v>702799.92329999991</v>
      </c>
    </row>
    <row r="106" spans="1:42" x14ac:dyDescent="0.3">
      <c r="B106" s="2" t="s">
        <v>311</v>
      </c>
      <c r="C106" s="26">
        <v>0</v>
      </c>
      <c r="D106" s="11">
        <v>0</v>
      </c>
      <c r="E106" s="11">
        <v>0</v>
      </c>
      <c r="F106" s="11">
        <f t="shared" ref="F106:AP106" si="222">F105/F79</f>
        <v>0.30734022222222218</v>
      </c>
      <c r="G106" s="11">
        <f t="shared" si="222"/>
        <v>2.1618697318007633E-2</v>
      </c>
      <c r="H106" s="11">
        <f t="shared" si="222"/>
        <v>2.1618697318007633E-2</v>
      </c>
      <c r="I106" s="11">
        <f t="shared" si="222"/>
        <v>0.37869216545012163</v>
      </c>
      <c r="J106" s="11">
        <f t="shared" si="222"/>
        <v>-0.61723888888888889</v>
      </c>
      <c r="K106" s="11">
        <f t="shared" si="222"/>
        <v>-0.61723888888888889</v>
      </c>
      <c r="L106" s="11">
        <f t="shared" si="222"/>
        <v>-1.3723663663663673E-2</v>
      </c>
      <c r="M106" s="11">
        <f t="shared" si="222"/>
        <v>-7.8153302034428801E-2</v>
      </c>
      <c r="N106" s="11">
        <f t="shared" si="222"/>
        <v>-7.8153302034428801E-2</v>
      </c>
      <c r="O106" s="11">
        <f t="shared" si="222"/>
        <v>0.33047622934888238</v>
      </c>
      <c r="P106" s="26">
        <f t="shared" si="222"/>
        <v>1.8812567713973738E-4</v>
      </c>
      <c r="Q106" s="11">
        <f t="shared" si="222"/>
        <v>4.564016313182314E-2</v>
      </c>
      <c r="R106" s="11">
        <f t="shared" si="222"/>
        <v>0.14439684008105888</v>
      </c>
      <c r="S106" s="11">
        <f t="shared" si="222"/>
        <v>0.23491974829462706</v>
      </c>
      <c r="T106" s="11">
        <f t="shared" si="222"/>
        <v>0.14029216231407216</v>
      </c>
      <c r="U106" s="11">
        <f t="shared" si="222"/>
        <v>0.10588887143810161</v>
      </c>
      <c r="V106" s="11">
        <f t="shared" si="222"/>
        <v>8.415657551519716E-2</v>
      </c>
      <c r="W106" s="11">
        <f t="shared" si="222"/>
        <v>8.415657551519716E-2</v>
      </c>
      <c r="X106" s="11">
        <f t="shared" si="222"/>
        <v>0.14827443143432223</v>
      </c>
      <c r="Y106" s="11">
        <f t="shared" si="222"/>
        <v>0.1824699519982505</v>
      </c>
      <c r="Z106" s="11">
        <f t="shared" si="222"/>
        <v>0.13302671922993725</v>
      </c>
      <c r="AA106" s="11">
        <f t="shared" si="222"/>
        <v>0.13302671922993725</v>
      </c>
      <c r="AB106" s="11">
        <f t="shared" si="222"/>
        <v>0.37598980585396224</v>
      </c>
      <c r="AC106" s="26">
        <f t="shared" si="222"/>
        <v>0.16415688181124813</v>
      </c>
      <c r="AD106" s="11">
        <f t="shared" si="222"/>
        <v>0.15198338173179896</v>
      </c>
      <c r="AE106" s="11">
        <f t="shared" si="222"/>
        <v>0.18732495439130234</v>
      </c>
      <c r="AF106" s="11">
        <f t="shared" si="222"/>
        <v>0.22540561342165547</v>
      </c>
      <c r="AG106" s="11">
        <f t="shared" si="222"/>
        <v>0.18639145045673414</v>
      </c>
      <c r="AH106" s="11">
        <f t="shared" si="222"/>
        <v>0.21387961308823086</v>
      </c>
      <c r="AI106" s="11">
        <f t="shared" si="222"/>
        <v>0.218274930068936</v>
      </c>
      <c r="AJ106" s="11">
        <f t="shared" si="222"/>
        <v>0.218274930068936</v>
      </c>
      <c r="AK106" s="11">
        <f t="shared" si="222"/>
        <v>0.24537499446050201</v>
      </c>
      <c r="AL106" s="11">
        <f t="shared" si="222"/>
        <v>0.26884139127836387</v>
      </c>
      <c r="AM106" s="11">
        <f t="shared" si="222"/>
        <v>0.20479454454152857</v>
      </c>
      <c r="AN106" s="11">
        <f t="shared" si="222"/>
        <v>0.20479454454152857</v>
      </c>
      <c r="AO106" s="11">
        <f t="shared" si="222"/>
        <v>0.20479454454152857</v>
      </c>
      <c r="AP106" s="26">
        <f t="shared" si="222"/>
        <v>0.21228609641453786</v>
      </c>
    </row>
    <row r="107" spans="1:42" x14ac:dyDescent="0.3">
      <c r="C107" s="18"/>
      <c r="P107" s="18"/>
      <c r="AC107" s="18"/>
      <c r="AP107" s="18"/>
    </row>
    <row r="108" spans="1:42" x14ac:dyDescent="0.3">
      <c r="B108" t="s">
        <v>241</v>
      </c>
      <c r="C108" s="17"/>
      <c r="P108" s="17"/>
      <c r="AC108" s="17"/>
      <c r="AP108" s="17"/>
    </row>
    <row r="109" spans="1:42" x14ac:dyDescent="0.3">
      <c r="B109" t="s">
        <v>242</v>
      </c>
      <c r="C109" s="18"/>
      <c r="D109" s="6">
        <f t="shared" ref="D109:O109" si="223">D132/60</f>
        <v>83.333333333333329</v>
      </c>
      <c r="E109" s="6">
        <f t="shared" si="223"/>
        <v>83.333333333333329</v>
      </c>
      <c r="F109" s="6">
        <f t="shared" si="223"/>
        <v>83.333333333333329</v>
      </c>
      <c r="G109" s="6">
        <f t="shared" si="223"/>
        <v>83.333333333333329</v>
      </c>
      <c r="H109" s="6">
        <f t="shared" si="223"/>
        <v>83.333333333333329</v>
      </c>
      <c r="I109" s="6">
        <f t="shared" si="223"/>
        <v>83.333333333333329</v>
      </c>
      <c r="J109" s="6">
        <f t="shared" si="223"/>
        <v>83.333333333333329</v>
      </c>
      <c r="K109" s="6">
        <f t="shared" si="223"/>
        <v>83.333333333333329</v>
      </c>
      <c r="L109" s="6">
        <f t="shared" si="223"/>
        <v>83.333333333333329</v>
      </c>
      <c r="M109" s="6">
        <f t="shared" si="223"/>
        <v>83.333333333333329</v>
      </c>
      <c r="N109" s="6">
        <f t="shared" si="223"/>
        <v>83.333333333333329</v>
      </c>
      <c r="O109" s="6">
        <f t="shared" si="223"/>
        <v>83.333333333333329</v>
      </c>
      <c r="P109" s="18">
        <f t="shared" ref="P109:P110" si="224">SUM(D109:O109)</f>
        <v>1000.0000000000001</v>
      </c>
      <c r="Q109" s="6">
        <f t="shared" ref="Q109:R109" si="225">Q132/60</f>
        <v>166.66666666666666</v>
      </c>
      <c r="R109" s="6">
        <f t="shared" si="225"/>
        <v>250</v>
      </c>
      <c r="S109" s="6">
        <f t="shared" ref="S109:AB109" si="226">S132/60</f>
        <v>250</v>
      </c>
      <c r="T109" s="6">
        <f t="shared" si="226"/>
        <v>250</v>
      </c>
      <c r="U109" s="6">
        <f t="shared" si="226"/>
        <v>250</v>
      </c>
      <c r="V109" s="6">
        <f t="shared" si="226"/>
        <v>250</v>
      </c>
      <c r="W109" s="6">
        <f t="shared" si="226"/>
        <v>250</v>
      </c>
      <c r="X109" s="6">
        <f t="shared" si="226"/>
        <v>250</v>
      </c>
      <c r="Y109" s="6">
        <f t="shared" si="226"/>
        <v>250</v>
      </c>
      <c r="Z109" s="6">
        <f t="shared" si="226"/>
        <v>250</v>
      </c>
      <c r="AA109" s="6">
        <f t="shared" si="226"/>
        <v>250</v>
      </c>
      <c r="AB109" s="6">
        <f t="shared" si="226"/>
        <v>250</v>
      </c>
      <c r="AC109" s="18">
        <f t="shared" ref="AC109:AC110" si="227">SUM(Q109:AB109)</f>
        <v>2916.6666666666665</v>
      </c>
      <c r="AD109" s="6">
        <f t="shared" ref="AD109:AO109" si="228">AD132/60</f>
        <v>416.66666666666669</v>
      </c>
      <c r="AE109" s="6">
        <f t="shared" si="228"/>
        <v>500</v>
      </c>
      <c r="AF109" s="6">
        <f t="shared" si="228"/>
        <v>500</v>
      </c>
      <c r="AG109" s="6">
        <f t="shared" si="228"/>
        <v>500</v>
      </c>
      <c r="AH109" s="6">
        <f t="shared" si="228"/>
        <v>500</v>
      </c>
      <c r="AI109" s="6">
        <f t="shared" si="228"/>
        <v>500</v>
      </c>
      <c r="AJ109" s="6">
        <f t="shared" si="228"/>
        <v>500</v>
      </c>
      <c r="AK109" s="6">
        <f t="shared" si="228"/>
        <v>500</v>
      </c>
      <c r="AL109" s="6">
        <f t="shared" si="228"/>
        <v>500</v>
      </c>
      <c r="AM109" s="6">
        <f t="shared" si="228"/>
        <v>500</v>
      </c>
      <c r="AN109" s="6">
        <f t="shared" si="228"/>
        <v>500</v>
      </c>
      <c r="AO109" s="6">
        <f t="shared" si="228"/>
        <v>500</v>
      </c>
      <c r="AP109" s="18">
        <f t="shared" ref="AP109:AP110" si="229">SUM(AD109:AO109)</f>
        <v>5916.666666666667</v>
      </c>
    </row>
    <row r="110" spans="1:42" x14ac:dyDescent="0.3">
      <c r="B110" t="s">
        <v>245</v>
      </c>
      <c r="C110" s="18"/>
      <c r="D110" s="6">
        <f>D136/60</f>
        <v>33.333333333333336</v>
      </c>
      <c r="E110" s="6">
        <f t="shared" ref="E110:O110" si="230">E136/60</f>
        <v>66.666666666666671</v>
      </c>
      <c r="F110" s="6">
        <f t="shared" si="230"/>
        <v>100</v>
      </c>
      <c r="G110" s="6">
        <f t="shared" si="230"/>
        <v>133.33333333333334</v>
      </c>
      <c r="H110" s="6">
        <f t="shared" si="230"/>
        <v>166.66666666666666</v>
      </c>
      <c r="I110" s="6">
        <f t="shared" si="230"/>
        <v>200</v>
      </c>
      <c r="J110" s="6">
        <f t="shared" si="230"/>
        <v>233.33333333333334</v>
      </c>
      <c r="K110" s="6">
        <f t="shared" si="230"/>
        <v>266.66666666666669</v>
      </c>
      <c r="L110" s="6">
        <f t="shared" si="230"/>
        <v>300</v>
      </c>
      <c r="M110" s="6">
        <f t="shared" si="230"/>
        <v>333.33333333333331</v>
      </c>
      <c r="N110" s="6">
        <f t="shared" si="230"/>
        <v>366.66666666666669</v>
      </c>
      <c r="O110" s="6">
        <f t="shared" si="230"/>
        <v>400</v>
      </c>
      <c r="P110" s="18">
        <f t="shared" si="224"/>
        <v>2600</v>
      </c>
      <c r="Q110" s="6">
        <f>Q136/60</f>
        <v>433.33333333333331</v>
      </c>
      <c r="R110" s="6">
        <f>R136/60</f>
        <v>466.66666666666669</v>
      </c>
      <c r="S110" s="6">
        <f t="shared" ref="S110:AO110" si="231">S136/60</f>
        <v>500</v>
      </c>
      <c r="T110" s="6">
        <f t="shared" si="231"/>
        <v>533.33333333333337</v>
      </c>
      <c r="U110" s="6">
        <f t="shared" si="231"/>
        <v>566.66666666666663</v>
      </c>
      <c r="V110" s="6">
        <f t="shared" si="231"/>
        <v>600</v>
      </c>
      <c r="W110" s="6">
        <f t="shared" si="231"/>
        <v>633.33333333333337</v>
      </c>
      <c r="X110" s="6">
        <f t="shared" si="231"/>
        <v>666.66666666666663</v>
      </c>
      <c r="Y110" s="6">
        <f t="shared" si="231"/>
        <v>700</v>
      </c>
      <c r="Z110" s="6">
        <f t="shared" si="231"/>
        <v>733.33333333333337</v>
      </c>
      <c r="AA110" s="6">
        <f t="shared" si="231"/>
        <v>766.66666666666663</v>
      </c>
      <c r="AB110" s="6">
        <f t="shared" si="231"/>
        <v>800</v>
      </c>
      <c r="AC110" s="18">
        <f t="shared" si="227"/>
        <v>7400</v>
      </c>
      <c r="AD110" s="6">
        <f t="shared" si="231"/>
        <v>833.33333333333337</v>
      </c>
      <c r="AE110" s="6">
        <f t="shared" si="231"/>
        <v>866.66666666666663</v>
      </c>
      <c r="AF110" s="6">
        <f t="shared" si="231"/>
        <v>900</v>
      </c>
      <c r="AG110" s="6">
        <f t="shared" si="231"/>
        <v>933.33333333333337</v>
      </c>
      <c r="AH110" s="6">
        <f t="shared" si="231"/>
        <v>966.66666666666663</v>
      </c>
      <c r="AI110" s="6">
        <f t="shared" si="231"/>
        <v>1000</v>
      </c>
      <c r="AJ110" s="6">
        <f t="shared" si="231"/>
        <v>1033.3333333333333</v>
      </c>
      <c r="AK110" s="6">
        <f t="shared" si="231"/>
        <v>1066.6666666666667</v>
      </c>
      <c r="AL110" s="6">
        <f t="shared" si="231"/>
        <v>1100</v>
      </c>
      <c r="AM110" s="6">
        <f t="shared" si="231"/>
        <v>1133.3333333333333</v>
      </c>
      <c r="AN110" s="6">
        <f t="shared" si="231"/>
        <v>1166.6666666666667</v>
      </c>
      <c r="AO110" s="6">
        <f t="shared" si="231"/>
        <v>1200</v>
      </c>
      <c r="AP110" s="18">
        <f t="shared" si="229"/>
        <v>12200</v>
      </c>
    </row>
    <row r="111" spans="1:42" s="13" customFormat="1" x14ac:dyDescent="0.3">
      <c r="A111" s="25"/>
      <c r="B111" s="13" t="s">
        <v>243</v>
      </c>
      <c r="C111" s="21">
        <f>SUM(C108:C110)</f>
        <v>0</v>
      </c>
      <c r="D111" s="13">
        <f t="shared" ref="D111:AC111" si="232">SUM(D108:D110)</f>
        <v>116.66666666666666</v>
      </c>
      <c r="E111" s="13">
        <f t="shared" ref="E111" si="233">SUM(E108:E110)</f>
        <v>150</v>
      </c>
      <c r="F111" s="13">
        <f t="shared" ref="F111" si="234">SUM(F108:F110)</f>
        <v>183.33333333333331</v>
      </c>
      <c r="G111" s="13">
        <f t="shared" ref="G111" si="235">SUM(G108:G110)</f>
        <v>216.66666666666669</v>
      </c>
      <c r="H111" s="13">
        <f t="shared" ref="H111" si="236">SUM(H108:H110)</f>
        <v>250</v>
      </c>
      <c r="I111" s="13">
        <f t="shared" ref="I111" si="237">SUM(I108:I110)</f>
        <v>283.33333333333331</v>
      </c>
      <c r="J111" s="13">
        <f t="shared" ref="J111" si="238">SUM(J108:J110)</f>
        <v>316.66666666666669</v>
      </c>
      <c r="K111" s="13">
        <f t="shared" ref="K111" si="239">SUM(K108:K110)</f>
        <v>350</v>
      </c>
      <c r="L111" s="13">
        <f t="shared" ref="L111" si="240">SUM(L108:L110)</f>
        <v>383.33333333333331</v>
      </c>
      <c r="M111" s="13">
        <f t="shared" ref="M111" si="241">SUM(M108:M110)</f>
        <v>416.66666666666663</v>
      </c>
      <c r="N111" s="13">
        <f t="shared" ref="N111" si="242">SUM(N108:N110)</f>
        <v>450</v>
      </c>
      <c r="O111" s="13">
        <f t="shared" ref="O111" si="243">SUM(O108:O110)</f>
        <v>483.33333333333331</v>
      </c>
      <c r="P111" s="21">
        <f t="shared" si="232"/>
        <v>3600</v>
      </c>
      <c r="Q111" s="13">
        <f t="shared" si="232"/>
        <v>600</v>
      </c>
      <c r="R111" s="13">
        <f t="shared" si="232"/>
        <v>716.66666666666674</v>
      </c>
      <c r="S111" s="13">
        <f t="shared" si="232"/>
        <v>750</v>
      </c>
      <c r="T111" s="13">
        <f t="shared" si="232"/>
        <v>783.33333333333337</v>
      </c>
      <c r="U111" s="13">
        <f t="shared" si="232"/>
        <v>816.66666666666663</v>
      </c>
      <c r="V111" s="13">
        <f t="shared" si="232"/>
        <v>850</v>
      </c>
      <c r="W111" s="13">
        <f t="shared" si="232"/>
        <v>883.33333333333337</v>
      </c>
      <c r="X111" s="13">
        <f t="shared" si="232"/>
        <v>916.66666666666663</v>
      </c>
      <c r="Y111" s="13">
        <f t="shared" si="232"/>
        <v>950</v>
      </c>
      <c r="Z111" s="13">
        <f t="shared" si="232"/>
        <v>983.33333333333337</v>
      </c>
      <c r="AA111" s="13">
        <f t="shared" si="232"/>
        <v>1016.6666666666666</v>
      </c>
      <c r="AB111" s="13">
        <f t="shared" si="232"/>
        <v>1050</v>
      </c>
      <c r="AC111" s="21">
        <f t="shared" si="232"/>
        <v>10316.666666666666</v>
      </c>
      <c r="AD111" s="13">
        <f t="shared" ref="AD111:AP111" si="244">SUM(AD108:AD110)</f>
        <v>1250</v>
      </c>
      <c r="AE111" s="13">
        <f t="shared" si="244"/>
        <v>1366.6666666666665</v>
      </c>
      <c r="AF111" s="13">
        <f t="shared" si="244"/>
        <v>1400</v>
      </c>
      <c r="AG111" s="13">
        <f t="shared" si="244"/>
        <v>1433.3333333333335</v>
      </c>
      <c r="AH111" s="13">
        <f t="shared" si="244"/>
        <v>1466.6666666666665</v>
      </c>
      <c r="AI111" s="13">
        <f t="shared" si="244"/>
        <v>1500</v>
      </c>
      <c r="AJ111" s="13">
        <f t="shared" si="244"/>
        <v>1533.3333333333333</v>
      </c>
      <c r="AK111" s="13">
        <f t="shared" si="244"/>
        <v>1566.6666666666667</v>
      </c>
      <c r="AL111" s="13">
        <f t="shared" si="244"/>
        <v>1600</v>
      </c>
      <c r="AM111" s="13">
        <f t="shared" si="244"/>
        <v>1633.3333333333333</v>
      </c>
      <c r="AN111" s="13">
        <f t="shared" si="244"/>
        <v>1666.6666666666667</v>
      </c>
      <c r="AO111" s="13">
        <f t="shared" si="244"/>
        <v>1700</v>
      </c>
      <c r="AP111" s="21">
        <f t="shared" si="244"/>
        <v>18116.666666666668</v>
      </c>
    </row>
    <row r="112" spans="1:42" x14ac:dyDescent="0.3">
      <c r="C112" s="17"/>
      <c r="P112" s="17"/>
      <c r="AC112" s="17"/>
      <c r="AP112" s="17"/>
    </row>
    <row r="113" spans="1:42" s="2" customFormat="1" x14ac:dyDescent="0.3">
      <c r="A113" s="24"/>
      <c r="B113" s="2" t="s">
        <v>244</v>
      </c>
      <c r="C113" s="20">
        <f>C105-C111</f>
        <v>-15000</v>
      </c>
      <c r="D113" s="12">
        <f t="shared" ref="D113:AC113" si="245">D105-D111</f>
        <v>-896.4600000000006</v>
      </c>
      <c r="E113" s="12">
        <f t="shared" si="245"/>
        <v>-929.79333333333398</v>
      </c>
      <c r="F113" s="12">
        <f t="shared" si="245"/>
        <v>9036.8733333333312</v>
      </c>
      <c r="G113" s="12">
        <f t="shared" si="245"/>
        <v>253.53999999999934</v>
      </c>
      <c r="H113" s="12">
        <f t="shared" si="245"/>
        <v>220.20666666666602</v>
      </c>
      <c r="I113" s="12">
        <f t="shared" si="245"/>
        <v>12686.873333333331</v>
      </c>
      <c r="J113" s="12">
        <f t="shared" si="245"/>
        <v>-20685.550000000003</v>
      </c>
      <c r="K113" s="12">
        <f t="shared" si="245"/>
        <v>-20718.883333333335</v>
      </c>
      <c r="L113" s="12">
        <f t="shared" si="245"/>
        <v>-1144.9966666666671</v>
      </c>
      <c r="M113" s="12">
        <f t="shared" si="245"/>
        <v>-4578.3300000000008</v>
      </c>
      <c r="N113" s="12">
        <f t="shared" si="245"/>
        <v>-4611.6633333333339</v>
      </c>
      <c r="O113" s="12">
        <f t="shared" si="245"/>
        <v>27855.003333333334</v>
      </c>
      <c r="P113" s="20">
        <f t="shared" si="245"/>
        <v>-3513.1800000000112</v>
      </c>
      <c r="Q113" s="12">
        <f t="shared" si="245"/>
        <v>3354.1496333333271</v>
      </c>
      <c r="R113" s="12">
        <f t="shared" si="245"/>
        <v>13237.482966666661</v>
      </c>
      <c r="S113" s="12">
        <f t="shared" si="245"/>
        <v>24791.649633333327</v>
      </c>
      <c r="T113" s="12">
        <f t="shared" si="245"/>
        <v>16272.686299999988</v>
      </c>
      <c r="U113" s="12">
        <f t="shared" si="245"/>
        <v>13071.982433333336</v>
      </c>
      <c r="V113" s="12">
        <f t="shared" si="245"/>
        <v>10329.149100000002</v>
      </c>
      <c r="W113" s="12">
        <f t="shared" si="245"/>
        <v>10295.815766666668</v>
      </c>
      <c r="X113" s="12">
        <f t="shared" si="245"/>
        <v>20262.482433333334</v>
      </c>
      <c r="Y113" s="12">
        <f t="shared" si="245"/>
        <v>26862.982433333331</v>
      </c>
      <c r="Z113" s="12">
        <f t="shared" si="245"/>
        <v>19516.084099999996</v>
      </c>
      <c r="AA113" s="12">
        <f t="shared" si="245"/>
        <v>19482.750766666661</v>
      </c>
      <c r="AB113" s="12">
        <f t="shared" si="245"/>
        <v>79449.417433333321</v>
      </c>
      <c r="AC113" s="20">
        <f t="shared" si="245"/>
        <v>256926.633</v>
      </c>
      <c r="AD113" s="12">
        <f t="shared" ref="AD113:AP113" si="246">AD105-AD111</f>
        <v>33698.388650000008</v>
      </c>
      <c r="AE113" s="12">
        <f t="shared" si="246"/>
        <v>43581.721983333344</v>
      </c>
      <c r="AF113" s="12">
        <f t="shared" si="246"/>
        <v>55490.263650000008</v>
      </c>
      <c r="AG113" s="12">
        <f t="shared" si="246"/>
        <v>48171.60585</v>
      </c>
      <c r="AH113" s="12">
        <f t="shared" si="246"/>
        <v>57580.147516666671</v>
      </c>
      <c r="AI113" s="12">
        <f t="shared" si="246"/>
        <v>59280.564183333336</v>
      </c>
      <c r="AJ113" s="12">
        <f t="shared" si="246"/>
        <v>59247.23085</v>
      </c>
      <c r="AK113" s="12">
        <f t="shared" si="246"/>
        <v>69213.897516666664</v>
      </c>
      <c r="AL113" s="12">
        <f t="shared" si="246"/>
        <v>78622.439183333336</v>
      </c>
      <c r="AM113" s="12">
        <f t="shared" si="246"/>
        <v>59965.665749999993</v>
      </c>
      <c r="AN113" s="12">
        <f t="shared" si="246"/>
        <v>59932.332416666664</v>
      </c>
      <c r="AO113" s="12">
        <f t="shared" si="246"/>
        <v>59898.999083333329</v>
      </c>
      <c r="AP113" s="20">
        <f t="shared" si="246"/>
        <v>684683.25663333328</v>
      </c>
    </row>
    <row r="114" spans="1:42" x14ac:dyDescent="0.3">
      <c r="B114" s="2"/>
      <c r="C114" s="17"/>
      <c r="P114" s="17"/>
      <c r="AC114" s="17"/>
      <c r="AP114" s="17"/>
    </row>
    <row r="115" spans="1:42" x14ac:dyDescent="0.3">
      <c r="B115" t="s">
        <v>246</v>
      </c>
      <c r="C115" s="17"/>
      <c r="P115" s="17"/>
      <c r="AC115" s="17"/>
      <c r="AP115" s="17"/>
    </row>
    <row r="116" spans="1:42" x14ac:dyDescent="0.3">
      <c r="B116" t="s">
        <v>247</v>
      </c>
      <c r="C116" s="17"/>
      <c r="P116" s="17"/>
      <c r="AC116" s="17"/>
      <c r="AP116" s="17"/>
    </row>
    <row r="117" spans="1:42" x14ac:dyDescent="0.3">
      <c r="B117" t="s">
        <v>248</v>
      </c>
      <c r="C117" s="17"/>
      <c r="P117" s="17"/>
      <c r="AC117" s="17"/>
      <c r="AP117" s="17"/>
    </row>
    <row r="118" spans="1:42" x14ac:dyDescent="0.3">
      <c r="B118" t="s">
        <v>249</v>
      </c>
      <c r="C118" s="17"/>
      <c r="P118" s="17"/>
      <c r="AC118" s="17"/>
      <c r="AP118" s="17"/>
    </row>
    <row r="119" spans="1:42" x14ac:dyDescent="0.3">
      <c r="B119" s="2" t="s">
        <v>308</v>
      </c>
      <c r="C119" s="17">
        <f>SUM(C115:C118)</f>
        <v>0</v>
      </c>
      <c r="D119" s="2">
        <f t="shared" ref="D119:AC119" si="247">SUM(D115:D118)</f>
        <v>0</v>
      </c>
      <c r="E119" s="2">
        <f t="shared" si="247"/>
        <v>0</v>
      </c>
      <c r="F119" s="2">
        <f t="shared" si="247"/>
        <v>0</v>
      </c>
      <c r="G119" s="2">
        <f t="shared" si="247"/>
        <v>0</v>
      </c>
      <c r="H119" s="2">
        <f t="shared" si="247"/>
        <v>0</v>
      </c>
      <c r="I119" s="2">
        <f t="shared" si="247"/>
        <v>0</v>
      </c>
      <c r="J119" s="2">
        <f t="shared" si="247"/>
        <v>0</v>
      </c>
      <c r="K119" s="2">
        <f t="shared" si="247"/>
        <v>0</v>
      </c>
      <c r="L119" s="2">
        <f t="shared" si="247"/>
        <v>0</v>
      </c>
      <c r="M119" s="2">
        <f t="shared" si="247"/>
        <v>0</v>
      </c>
      <c r="N119" s="2">
        <f t="shared" si="247"/>
        <v>0</v>
      </c>
      <c r="O119" s="2">
        <f t="shared" si="247"/>
        <v>0</v>
      </c>
      <c r="P119" s="17">
        <f t="shared" si="247"/>
        <v>0</v>
      </c>
      <c r="Q119">
        <f t="shared" si="247"/>
        <v>0</v>
      </c>
      <c r="R119">
        <f t="shared" si="247"/>
        <v>0</v>
      </c>
      <c r="S119">
        <f t="shared" si="247"/>
        <v>0</v>
      </c>
      <c r="T119">
        <f t="shared" si="247"/>
        <v>0</v>
      </c>
      <c r="U119">
        <f t="shared" si="247"/>
        <v>0</v>
      </c>
      <c r="V119">
        <f t="shared" si="247"/>
        <v>0</v>
      </c>
      <c r="W119">
        <f t="shared" si="247"/>
        <v>0</v>
      </c>
      <c r="X119">
        <f t="shared" si="247"/>
        <v>0</v>
      </c>
      <c r="Y119">
        <f t="shared" si="247"/>
        <v>0</v>
      </c>
      <c r="Z119">
        <f t="shared" si="247"/>
        <v>0</v>
      </c>
      <c r="AA119">
        <f t="shared" si="247"/>
        <v>0</v>
      </c>
      <c r="AB119">
        <f t="shared" si="247"/>
        <v>0</v>
      </c>
      <c r="AC119" s="17">
        <f t="shared" si="247"/>
        <v>0</v>
      </c>
      <c r="AD119">
        <f t="shared" ref="AD119:AP119" si="248">SUM(AD115:AD118)</f>
        <v>0</v>
      </c>
      <c r="AE119">
        <f t="shared" si="248"/>
        <v>0</v>
      </c>
      <c r="AF119">
        <f t="shared" si="248"/>
        <v>0</v>
      </c>
      <c r="AG119">
        <f t="shared" si="248"/>
        <v>0</v>
      </c>
      <c r="AH119">
        <f t="shared" si="248"/>
        <v>0</v>
      </c>
      <c r="AI119">
        <f t="shared" si="248"/>
        <v>0</v>
      </c>
      <c r="AJ119">
        <f t="shared" si="248"/>
        <v>0</v>
      </c>
      <c r="AK119">
        <f t="shared" si="248"/>
        <v>0</v>
      </c>
      <c r="AL119">
        <f t="shared" si="248"/>
        <v>0</v>
      </c>
      <c r="AM119">
        <f t="shared" si="248"/>
        <v>0</v>
      </c>
      <c r="AN119">
        <f t="shared" si="248"/>
        <v>0</v>
      </c>
      <c r="AO119">
        <f t="shared" si="248"/>
        <v>0</v>
      </c>
      <c r="AP119" s="17">
        <f t="shared" si="248"/>
        <v>0</v>
      </c>
    </row>
    <row r="120" spans="1:42" x14ac:dyDescent="0.3">
      <c r="C120" s="17"/>
      <c r="P120" s="17"/>
      <c r="AC120" s="17"/>
      <c r="AP120" s="17"/>
    </row>
    <row r="121" spans="1:42" s="2" customFormat="1" x14ac:dyDescent="0.3">
      <c r="A121" s="24"/>
      <c r="B121" s="2" t="s">
        <v>251</v>
      </c>
      <c r="C121" s="20">
        <f>C113-C119</f>
        <v>-15000</v>
      </c>
      <c r="D121" s="12">
        <f t="shared" ref="D121:AC121" si="249">D113-D119</f>
        <v>-896.4600000000006</v>
      </c>
      <c r="E121" s="12">
        <f t="shared" si="249"/>
        <v>-929.79333333333398</v>
      </c>
      <c r="F121" s="12">
        <f t="shared" si="249"/>
        <v>9036.8733333333312</v>
      </c>
      <c r="G121" s="12">
        <f t="shared" si="249"/>
        <v>253.53999999999934</v>
      </c>
      <c r="H121" s="12">
        <f t="shared" si="249"/>
        <v>220.20666666666602</v>
      </c>
      <c r="I121" s="12">
        <f t="shared" si="249"/>
        <v>12686.873333333331</v>
      </c>
      <c r="J121" s="12">
        <f t="shared" si="249"/>
        <v>-20685.550000000003</v>
      </c>
      <c r="K121" s="12">
        <f t="shared" si="249"/>
        <v>-20718.883333333335</v>
      </c>
      <c r="L121" s="12">
        <f t="shared" si="249"/>
        <v>-1144.9966666666671</v>
      </c>
      <c r="M121" s="12">
        <f t="shared" si="249"/>
        <v>-4578.3300000000008</v>
      </c>
      <c r="N121" s="12">
        <f t="shared" si="249"/>
        <v>-4611.6633333333339</v>
      </c>
      <c r="O121" s="12">
        <f t="shared" si="249"/>
        <v>27855.003333333334</v>
      </c>
      <c r="P121" s="20">
        <f t="shared" si="249"/>
        <v>-3513.1800000000112</v>
      </c>
      <c r="Q121" s="12">
        <f t="shared" si="249"/>
        <v>3354.1496333333271</v>
      </c>
      <c r="R121" s="12">
        <f t="shared" si="249"/>
        <v>13237.482966666661</v>
      </c>
      <c r="S121" s="12">
        <f t="shared" si="249"/>
        <v>24791.649633333327</v>
      </c>
      <c r="T121" s="12">
        <f t="shared" si="249"/>
        <v>16272.686299999988</v>
      </c>
      <c r="U121" s="12">
        <f t="shared" si="249"/>
        <v>13071.982433333336</v>
      </c>
      <c r="V121" s="12">
        <f t="shared" si="249"/>
        <v>10329.149100000002</v>
      </c>
      <c r="W121" s="12">
        <f t="shared" si="249"/>
        <v>10295.815766666668</v>
      </c>
      <c r="X121" s="12">
        <f t="shared" si="249"/>
        <v>20262.482433333334</v>
      </c>
      <c r="Y121" s="12">
        <f t="shared" si="249"/>
        <v>26862.982433333331</v>
      </c>
      <c r="Z121" s="12">
        <f t="shared" si="249"/>
        <v>19516.084099999996</v>
      </c>
      <c r="AA121" s="12">
        <f t="shared" si="249"/>
        <v>19482.750766666661</v>
      </c>
      <c r="AB121" s="12">
        <f t="shared" si="249"/>
        <v>79449.417433333321</v>
      </c>
      <c r="AC121" s="20">
        <f t="shared" si="249"/>
        <v>256926.633</v>
      </c>
      <c r="AD121" s="12">
        <f t="shared" ref="AD121:AP121" si="250">AD113-AD119</f>
        <v>33698.388650000008</v>
      </c>
      <c r="AE121" s="12">
        <f t="shared" si="250"/>
        <v>43581.721983333344</v>
      </c>
      <c r="AF121" s="12">
        <f t="shared" si="250"/>
        <v>55490.263650000008</v>
      </c>
      <c r="AG121" s="12">
        <f t="shared" si="250"/>
        <v>48171.60585</v>
      </c>
      <c r="AH121" s="12">
        <f t="shared" si="250"/>
        <v>57580.147516666671</v>
      </c>
      <c r="AI121" s="12">
        <f t="shared" si="250"/>
        <v>59280.564183333336</v>
      </c>
      <c r="AJ121" s="12">
        <f t="shared" si="250"/>
        <v>59247.23085</v>
      </c>
      <c r="AK121" s="12">
        <f t="shared" si="250"/>
        <v>69213.897516666664</v>
      </c>
      <c r="AL121" s="12">
        <f t="shared" si="250"/>
        <v>78622.439183333336</v>
      </c>
      <c r="AM121" s="12">
        <f t="shared" si="250"/>
        <v>59965.665749999993</v>
      </c>
      <c r="AN121" s="12">
        <f t="shared" si="250"/>
        <v>59932.332416666664</v>
      </c>
      <c r="AO121" s="12">
        <f t="shared" si="250"/>
        <v>59898.999083333329</v>
      </c>
      <c r="AP121" s="20">
        <f t="shared" si="250"/>
        <v>684683.25663333328</v>
      </c>
    </row>
    <row r="122" spans="1:42" x14ac:dyDescent="0.3">
      <c r="B122" s="2"/>
      <c r="C122" s="17"/>
      <c r="P122" s="17"/>
      <c r="AC122" s="17"/>
      <c r="AP122" s="17"/>
    </row>
    <row r="123" spans="1:42" x14ac:dyDescent="0.3">
      <c r="B123" t="s">
        <v>250</v>
      </c>
      <c r="C123" s="18">
        <f>0.23*C121</f>
        <v>-3450</v>
      </c>
      <c r="D123" s="7">
        <f t="shared" ref="D123:AC123" si="251">0.23*D121</f>
        <v>-206.18580000000014</v>
      </c>
      <c r="E123" s="7">
        <f t="shared" si="251"/>
        <v>-213.85246666666683</v>
      </c>
      <c r="F123" s="7">
        <f t="shared" si="251"/>
        <v>2078.4808666666663</v>
      </c>
      <c r="G123" s="7">
        <f t="shared" si="251"/>
        <v>58.31419999999985</v>
      </c>
      <c r="H123" s="7">
        <f t="shared" si="251"/>
        <v>50.647533333333186</v>
      </c>
      <c r="I123" s="7">
        <f t="shared" si="251"/>
        <v>2917.9808666666663</v>
      </c>
      <c r="J123" s="7">
        <f t="shared" si="251"/>
        <v>-4757.6765000000005</v>
      </c>
      <c r="K123" s="7">
        <f t="shared" si="251"/>
        <v>-4765.3431666666675</v>
      </c>
      <c r="L123" s="7">
        <f t="shared" si="251"/>
        <v>-263.34923333333347</v>
      </c>
      <c r="M123" s="7">
        <f t="shared" si="251"/>
        <v>-1053.0159000000003</v>
      </c>
      <c r="N123" s="7">
        <f t="shared" si="251"/>
        <v>-1060.6825666666668</v>
      </c>
      <c r="O123" s="7">
        <f t="shared" si="251"/>
        <v>6406.6507666666676</v>
      </c>
      <c r="P123" s="18">
        <f t="shared" si="251"/>
        <v>-808.03140000000258</v>
      </c>
      <c r="Q123" s="7">
        <f t="shared" si="251"/>
        <v>771.45441566666523</v>
      </c>
      <c r="R123" s="7">
        <f t="shared" si="251"/>
        <v>3044.6210823333322</v>
      </c>
      <c r="S123" s="7">
        <f t="shared" si="251"/>
        <v>5702.0794156666652</v>
      </c>
      <c r="T123" s="7">
        <f t="shared" si="251"/>
        <v>3742.7178489999974</v>
      </c>
      <c r="U123" s="7">
        <f t="shared" si="251"/>
        <v>3006.5559596666676</v>
      </c>
      <c r="V123" s="7">
        <f t="shared" si="251"/>
        <v>2375.7042930000007</v>
      </c>
      <c r="W123" s="7">
        <f t="shared" si="251"/>
        <v>2368.0376263333337</v>
      </c>
      <c r="X123" s="7">
        <f t="shared" si="251"/>
        <v>4660.3709596666667</v>
      </c>
      <c r="Y123" s="7">
        <f t="shared" si="251"/>
        <v>6178.4859596666665</v>
      </c>
      <c r="Z123" s="7">
        <f t="shared" si="251"/>
        <v>4488.6993429999993</v>
      </c>
      <c r="AA123" s="7">
        <f t="shared" si="251"/>
        <v>4481.0326763333323</v>
      </c>
      <c r="AB123" s="7">
        <f t="shared" si="251"/>
        <v>18273.366009666664</v>
      </c>
      <c r="AC123" s="18">
        <f t="shared" si="251"/>
        <v>59093.125590000003</v>
      </c>
      <c r="AD123" s="7">
        <f t="shared" ref="AD123:AP123" si="252">0.23*AD121</f>
        <v>7750.6293895000026</v>
      </c>
      <c r="AE123" s="7">
        <f t="shared" si="252"/>
        <v>10023.79605616667</v>
      </c>
      <c r="AF123" s="7">
        <f t="shared" si="252"/>
        <v>12762.760639500002</v>
      </c>
      <c r="AG123" s="7">
        <f t="shared" si="252"/>
        <v>11079.4693455</v>
      </c>
      <c r="AH123" s="7">
        <f t="shared" si="252"/>
        <v>13243.433928833336</v>
      </c>
      <c r="AI123" s="7">
        <f t="shared" si="252"/>
        <v>13634.529762166669</v>
      </c>
      <c r="AJ123" s="7">
        <f t="shared" si="252"/>
        <v>13626.863095500001</v>
      </c>
      <c r="AK123" s="7">
        <f t="shared" si="252"/>
        <v>15919.196428833333</v>
      </c>
      <c r="AL123" s="7">
        <f t="shared" si="252"/>
        <v>18083.161012166667</v>
      </c>
      <c r="AM123" s="7">
        <f t="shared" si="252"/>
        <v>13792.103122499999</v>
      </c>
      <c r="AN123" s="7">
        <f t="shared" si="252"/>
        <v>13784.436455833333</v>
      </c>
      <c r="AO123" s="7">
        <f t="shared" si="252"/>
        <v>13776.769789166667</v>
      </c>
      <c r="AP123" s="18">
        <f t="shared" si="252"/>
        <v>157477.14902566667</v>
      </c>
    </row>
    <row r="124" spans="1:42" x14ac:dyDescent="0.3">
      <c r="C124" s="17"/>
      <c r="P124" s="17"/>
      <c r="AC124" s="17"/>
      <c r="AP124" s="17"/>
    </row>
    <row r="125" spans="1:42" s="2" customFormat="1" x14ac:dyDescent="0.3">
      <c r="A125" s="24"/>
      <c r="B125" s="2" t="s">
        <v>252</v>
      </c>
      <c r="C125" s="20">
        <f>C121-C123</f>
        <v>-11550</v>
      </c>
      <c r="D125" s="12">
        <f t="shared" ref="D125:AC125" si="253">D121-D123</f>
        <v>-690.27420000000052</v>
      </c>
      <c r="E125" s="12">
        <f t="shared" si="253"/>
        <v>-715.94086666666715</v>
      </c>
      <c r="F125" s="12">
        <f t="shared" si="253"/>
        <v>6958.3924666666644</v>
      </c>
      <c r="G125" s="12">
        <f t="shared" si="253"/>
        <v>195.22579999999948</v>
      </c>
      <c r="H125" s="12">
        <f t="shared" si="253"/>
        <v>169.55913333333285</v>
      </c>
      <c r="I125" s="12">
        <f t="shared" si="253"/>
        <v>9768.8924666666644</v>
      </c>
      <c r="J125" s="12">
        <f t="shared" si="253"/>
        <v>-15927.873500000002</v>
      </c>
      <c r="K125" s="12">
        <f t="shared" si="253"/>
        <v>-15953.540166666668</v>
      </c>
      <c r="L125" s="12">
        <f t="shared" si="253"/>
        <v>-881.64743333333365</v>
      </c>
      <c r="M125" s="12">
        <f t="shared" si="253"/>
        <v>-3525.3141000000005</v>
      </c>
      <c r="N125" s="12">
        <f t="shared" si="253"/>
        <v>-3550.980766666667</v>
      </c>
      <c r="O125" s="12">
        <f t="shared" si="253"/>
        <v>21448.352566666668</v>
      </c>
      <c r="P125" s="20">
        <f t="shared" si="253"/>
        <v>-2705.1486000000086</v>
      </c>
      <c r="Q125" s="12">
        <f t="shared" si="253"/>
        <v>2582.6952176666618</v>
      </c>
      <c r="R125" s="12">
        <f t="shared" si="253"/>
        <v>10192.861884333328</v>
      </c>
      <c r="S125" s="12">
        <f t="shared" si="253"/>
        <v>19089.57021766666</v>
      </c>
      <c r="T125" s="12">
        <f t="shared" si="253"/>
        <v>12529.968450999992</v>
      </c>
      <c r="U125" s="12">
        <f t="shared" si="253"/>
        <v>10065.426473666668</v>
      </c>
      <c r="V125" s="12">
        <f t="shared" si="253"/>
        <v>7953.4448070000017</v>
      </c>
      <c r="W125" s="12">
        <f t="shared" si="253"/>
        <v>7927.7781403333347</v>
      </c>
      <c r="X125" s="12">
        <f t="shared" si="253"/>
        <v>15602.111473666668</v>
      </c>
      <c r="Y125" s="12">
        <f t="shared" si="253"/>
        <v>20684.496473666666</v>
      </c>
      <c r="Z125" s="12">
        <f t="shared" si="253"/>
        <v>15027.384756999996</v>
      </c>
      <c r="AA125" s="12">
        <f t="shared" si="253"/>
        <v>15001.718090333328</v>
      </c>
      <c r="AB125" s="12">
        <f t="shared" si="253"/>
        <v>61176.051423666657</v>
      </c>
      <c r="AC125" s="20">
        <f t="shared" si="253"/>
        <v>197833.50740999999</v>
      </c>
      <c r="AD125" s="12">
        <f t="shared" ref="AD125:AP125" si="254">AD121-AD123</f>
        <v>25947.759260500006</v>
      </c>
      <c r="AE125" s="12">
        <f t="shared" si="254"/>
        <v>33557.925927166674</v>
      </c>
      <c r="AF125" s="12">
        <f t="shared" si="254"/>
        <v>42727.503010500004</v>
      </c>
      <c r="AG125" s="12">
        <f t="shared" si="254"/>
        <v>37092.136504499998</v>
      </c>
      <c r="AH125" s="12">
        <f t="shared" si="254"/>
        <v>44336.713587833336</v>
      </c>
      <c r="AI125" s="12">
        <f t="shared" si="254"/>
        <v>45646.034421166667</v>
      </c>
      <c r="AJ125" s="12">
        <f t="shared" si="254"/>
        <v>45620.367754499995</v>
      </c>
      <c r="AK125" s="12">
        <f t="shared" si="254"/>
        <v>53294.701087833331</v>
      </c>
      <c r="AL125" s="12">
        <f t="shared" si="254"/>
        <v>60539.278171166668</v>
      </c>
      <c r="AM125" s="12">
        <f t="shared" si="254"/>
        <v>46173.562627499996</v>
      </c>
      <c r="AN125" s="12">
        <f t="shared" si="254"/>
        <v>46147.895960833332</v>
      </c>
      <c r="AO125" s="12">
        <f t="shared" si="254"/>
        <v>46122.22929416666</v>
      </c>
      <c r="AP125" s="20">
        <f t="shared" si="254"/>
        <v>527206.10760766664</v>
      </c>
    </row>
    <row r="126" spans="1:42" x14ac:dyDescent="0.3">
      <c r="B126" s="2"/>
      <c r="C126" s="17"/>
      <c r="P126" s="17"/>
      <c r="AC126" s="17"/>
      <c r="AP126" s="17"/>
    </row>
    <row r="127" spans="1:42" x14ac:dyDescent="0.3">
      <c r="B127" s="2"/>
      <c r="C127" s="17"/>
      <c r="P127" s="17"/>
      <c r="AC127" s="17"/>
      <c r="AP127" s="17"/>
    </row>
    <row r="128" spans="1:42" x14ac:dyDescent="0.3">
      <c r="B128" s="3" t="s">
        <v>253</v>
      </c>
      <c r="C128" s="17"/>
      <c r="P128" s="17"/>
      <c r="AC128" s="17"/>
      <c r="AP128" s="17"/>
    </row>
    <row r="129" spans="1:42" x14ac:dyDescent="0.3">
      <c r="C129" s="17"/>
      <c r="P129" s="17"/>
      <c r="AC129" s="17"/>
      <c r="AP129" s="17"/>
    </row>
    <row r="130" spans="1:42" x14ac:dyDescent="0.3">
      <c r="B130" t="s">
        <v>254</v>
      </c>
      <c r="C130" s="17"/>
      <c r="P130" s="17"/>
      <c r="AC130" s="17"/>
      <c r="AP130" s="17"/>
    </row>
    <row r="131" spans="1:42" x14ac:dyDescent="0.3">
      <c r="B131" t="s">
        <v>255</v>
      </c>
      <c r="C131" s="17"/>
      <c r="P131" s="17"/>
      <c r="AC131" s="17"/>
      <c r="AP131" s="17"/>
    </row>
    <row r="132" spans="1:42" x14ac:dyDescent="0.3">
      <c r="B132" t="s">
        <v>256</v>
      </c>
      <c r="C132" s="19"/>
      <c r="D132" s="6">
        <v>5000</v>
      </c>
      <c r="E132" s="6">
        <f>D132</f>
        <v>5000</v>
      </c>
      <c r="F132" s="6">
        <f t="shared" ref="F132:O132" si="255">E132</f>
        <v>5000</v>
      </c>
      <c r="G132" s="6">
        <f t="shared" si="255"/>
        <v>5000</v>
      </c>
      <c r="H132" s="6">
        <f t="shared" si="255"/>
        <v>5000</v>
      </c>
      <c r="I132" s="6">
        <f t="shared" si="255"/>
        <v>5000</v>
      </c>
      <c r="J132" s="6">
        <f t="shared" si="255"/>
        <v>5000</v>
      </c>
      <c r="K132" s="6">
        <f t="shared" si="255"/>
        <v>5000</v>
      </c>
      <c r="L132" s="6">
        <f t="shared" si="255"/>
        <v>5000</v>
      </c>
      <c r="M132" s="6">
        <f t="shared" si="255"/>
        <v>5000</v>
      </c>
      <c r="N132" s="6">
        <f t="shared" si="255"/>
        <v>5000</v>
      </c>
      <c r="O132" s="6">
        <f t="shared" si="255"/>
        <v>5000</v>
      </c>
      <c r="P132" s="19">
        <f>O132</f>
        <v>5000</v>
      </c>
      <c r="Q132" s="6">
        <f>O132+5000</f>
        <v>10000</v>
      </c>
      <c r="R132" s="6">
        <f>Q132+5000</f>
        <v>15000</v>
      </c>
      <c r="S132" s="6">
        <f t="shared" ref="S132" si="256">R132</f>
        <v>15000</v>
      </c>
      <c r="T132" s="6">
        <f t="shared" ref="T132" si="257">S132</f>
        <v>15000</v>
      </c>
      <c r="U132" s="6">
        <f t="shared" ref="U132" si="258">T132</f>
        <v>15000</v>
      </c>
      <c r="V132" s="6">
        <f t="shared" ref="V132" si="259">U132</f>
        <v>15000</v>
      </c>
      <c r="W132" s="6">
        <f t="shared" ref="W132" si="260">V132</f>
        <v>15000</v>
      </c>
      <c r="X132" s="6">
        <f t="shared" ref="X132" si="261">W132</f>
        <v>15000</v>
      </c>
      <c r="Y132" s="6">
        <f t="shared" ref="Y132" si="262">X132</f>
        <v>15000</v>
      </c>
      <c r="Z132" s="6">
        <f t="shared" ref="Z132" si="263">Y132</f>
        <v>15000</v>
      </c>
      <c r="AA132" s="6">
        <f t="shared" ref="AA132" si="264">Z132</f>
        <v>15000</v>
      </c>
      <c r="AB132" s="6">
        <f t="shared" ref="AB132" si="265">AA132</f>
        <v>15000</v>
      </c>
      <c r="AC132" s="19">
        <f>AB132</f>
        <v>15000</v>
      </c>
      <c r="AD132" s="6">
        <f>AB132+10000</f>
        <v>25000</v>
      </c>
      <c r="AE132" s="6">
        <f>AD132+5000</f>
        <v>30000</v>
      </c>
      <c r="AF132" s="6">
        <f t="shared" ref="AF132" si="266">AE132</f>
        <v>30000</v>
      </c>
      <c r="AG132" s="6">
        <f t="shared" ref="AG132" si="267">AF132</f>
        <v>30000</v>
      </c>
      <c r="AH132" s="6">
        <f t="shared" ref="AH132" si="268">AG132</f>
        <v>30000</v>
      </c>
      <c r="AI132" s="6">
        <f t="shared" ref="AI132" si="269">AH132</f>
        <v>30000</v>
      </c>
      <c r="AJ132" s="6">
        <f t="shared" ref="AJ132" si="270">AI132</f>
        <v>30000</v>
      </c>
      <c r="AK132" s="6">
        <f t="shared" ref="AK132" si="271">AJ132</f>
        <v>30000</v>
      </c>
      <c r="AL132" s="6">
        <f t="shared" ref="AL132" si="272">AK132</f>
        <v>30000</v>
      </c>
      <c r="AM132" s="6">
        <f t="shared" ref="AM132" si="273">AL132</f>
        <v>30000</v>
      </c>
      <c r="AN132" s="6">
        <f t="shared" ref="AN132" si="274">AM132</f>
        <v>30000</v>
      </c>
      <c r="AO132" s="6">
        <f t="shared" ref="AO132" si="275">AN132</f>
        <v>30000</v>
      </c>
      <c r="AP132" s="19">
        <f>AO132</f>
        <v>30000</v>
      </c>
    </row>
    <row r="133" spans="1:42" x14ac:dyDescent="0.3">
      <c r="B133" t="s">
        <v>257</v>
      </c>
      <c r="C133" s="19"/>
      <c r="D133" s="6">
        <f>-D109</f>
        <v>-83.333333333333329</v>
      </c>
      <c r="E133" s="6">
        <f>D133-E109</f>
        <v>-166.66666666666666</v>
      </c>
      <c r="F133" s="6">
        <f t="shared" ref="F133:O133" si="276">E133-F109</f>
        <v>-250</v>
      </c>
      <c r="G133" s="6">
        <f t="shared" si="276"/>
        <v>-333.33333333333331</v>
      </c>
      <c r="H133" s="6">
        <f t="shared" si="276"/>
        <v>-416.66666666666663</v>
      </c>
      <c r="I133" s="6">
        <f t="shared" si="276"/>
        <v>-499.99999999999994</v>
      </c>
      <c r="J133" s="6">
        <f t="shared" si="276"/>
        <v>-583.33333333333326</v>
      </c>
      <c r="K133" s="6">
        <f t="shared" si="276"/>
        <v>-666.66666666666663</v>
      </c>
      <c r="L133" s="6">
        <f t="shared" si="276"/>
        <v>-750</v>
      </c>
      <c r="M133" s="6">
        <f t="shared" si="276"/>
        <v>-833.33333333333337</v>
      </c>
      <c r="N133" s="6">
        <f t="shared" si="276"/>
        <v>-916.66666666666674</v>
      </c>
      <c r="O133" s="6">
        <f t="shared" si="276"/>
        <v>-1000.0000000000001</v>
      </c>
      <c r="P133" s="19">
        <f>O133</f>
        <v>-1000.0000000000001</v>
      </c>
      <c r="Q133" s="6">
        <f>O133-Q109</f>
        <v>-1166.6666666666667</v>
      </c>
      <c r="R133" s="6">
        <f>Q133-R109</f>
        <v>-1416.6666666666667</v>
      </c>
      <c r="S133" s="6">
        <f t="shared" ref="S133:AB133" si="277">R133-S109</f>
        <v>-1666.6666666666667</v>
      </c>
      <c r="T133" s="6">
        <f t="shared" si="277"/>
        <v>-1916.6666666666667</v>
      </c>
      <c r="U133" s="6">
        <f t="shared" si="277"/>
        <v>-2166.666666666667</v>
      </c>
      <c r="V133" s="6">
        <f t="shared" si="277"/>
        <v>-2416.666666666667</v>
      </c>
      <c r="W133" s="6">
        <f t="shared" si="277"/>
        <v>-2666.666666666667</v>
      </c>
      <c r="X133" s="6">
        <f t="shared" si="277"/>
        <v>-2916.666666666667</v>
      </c>
      <c r="Y133" s="6">
        <f t="shared" si="277"/>
        <v>-3166.666666666667</v>
      </c>
      <c r="Z133" s="6">
        <f t="shared" si="277"/>
        <v>-3416.666666666667</v>
      </c>
      <c r="AA133" s="6">
        <f t="shared" si="277"/>
        <v>-3666.666666666667</v>
      </c>
      <c r="AB133" s="6">
        <f t="shared" si="277"/>
        <v>-3916.666666666667</v>
      </c>
      <c r="AC133" s="19">
        <f>AB133</f>
        <v>-3916.666666666667</v>
      </c>
      <c r="AD133" s="6">
        <f>AB133-AD109</f>
        <v>-4333.3333333333339</v>
      </c>
      <c r="AE133" s="6">
        <f>AD133-AE109</f>
        <v>-4833.3333333333339</v>
      </c>
      <c r="AF133" s="6">
        <f t="shared" ref="AF133:AO133" si="278">AE133-AF109</f>
        <v>-5333.3333333333339</v>
      </c>
      <c r="AG133" s="6">
        <f t="shared" si="278"/>
        <v>-5833.3333333333339</v>
      </c>
      <c r="AH133" s="6">
        <f t="shared" si="278"/>
        <v>-6333.3333333333339</v>
      </c>
      <c r="AI133" s="6">
        <f t="shared" si="278"/>
        <v>-6833.3333333333339</v>
      </c>
      <c r="AJ133" s="6">
        <f t="shared" si="278"/>
        <v>-7333.3333333333339</v>
      </c>
      <c r="AK133" s="6">
        <f t="shared" si="278"/>
        <v>-7833.3333333333339</v>
      </c>
      <c r="AL133" s="6">
        <f t="shared" si="278"/>
        <v>-8333.3333333333339</v>
      </c>
      <c r="AM133" s="6">
        <f t="shared" si="278"/>
        <v>-8833.3333333333339</v>
      </c>
      <c r="AN133" s="6">
        <f t="shared" si="278"/>
        <v>-9333.3333333333339</v>
      </c>
      <c r="AO133" s="6">
        <f t="shared" si="278"/>
        <v>-9833.3333333333339</v>
      </c>
      <c r="AP133" s="19">
        <f>AO133</f>
        <v>-9833.3333333333339</v>
      </c>
    </row>
    <row r="134" spans="1:42" x14ac:dyDescent="0.3">
      <c r="B134" s="2" t="s">
        <v>258</v>
      </c>
      <c r="C134" s="21"/>
      <c r="D134" s="13">
        <f t="shared" ref="D134:O134" si="279">SUM(D130:D133)</f>
        <v>4916.666666666667</v>
      </c>
      <c r="E134" s="13">
        <f t="shared" si="279"/>
        <v>4833.333333333333</v>
      </c>
      <c r="F134" s="13">
        <f t="shared" si="279"/>
        <v>4750</v>
      </c>
      <c r="G134" s="13">
        <f t="shared" si="279"/>
        <v>4666.666666666667</v>
      </c>
      <c r="H134" s="13">
        <f t="shared" si="279"/>
        <v>4583.333333333333</v>
      </c>
      <c r="I134" s="13">
        <f t="shared" si="279"/>
        <v>4500</v>
      </c>
      <c r="J134" s="13">
        <f t="shared" si="279"/>
        <v>4416.666666666667</v>
      </c>
      <c r="K134" s="13">
        <f t="shared" si="279"/>
        <v>4333.333333333333</v>
      </c>
      <c r="L134" s="13">
        <f t="shared" si="279"/>
        <v>4250</v>
      </c>
      <c r="M134" s="13">
        <f t="shared" si="279"/>
        <v>4166.666666666667</v>
      </c>
      <c r="N134" s="13">
        <f t="shared" si="279"/>
        <v>4083.333333333333</v>
      </c>
      <c r="O134" s="13">
        <f t="shared" si="279"/>
        <v>4000</v>
      </c>
      <c r="P134" s="21">
        <f>O134</f>
        <v>4000</v>
      </c>
      <c r="Q134" s="13">
        <f t="shared" ref="Q134:S134" si="280">SUM(Q130:Q133)</f>
        <v>8833.3333333333339</v>
      </c>
      <c r="R134" s="13">
        <f t="shared" si="280"/>
        <v>13583.333333333334</v>
      </c>
      <c r="S134" s="13">
        <f t="shared" si="280"/>
        <v>13333.333333333334</v>
      </c>
      <c r="T134" s="13">
        <f t="shared" ref="T134" si="281">SUM(T130:T133)</f>
        <v>13083.333333333334</v>
      </c>
      <c r="U134" s="13">
        <f t="shared" ref="U134" si="282">SUM(U130:U133)</f>
        <v>12833.333333333332</v>
      </c>
      <c r="V134" s="13">
        <f t="shared" ref="V134" si="283">SUM(V130:V133)</f>
        <v>12583.333333333332</v>
      </c>
      <c r="W134" s="13">
        <f t="shared" ref="W134" si="284">SUM(W130:W133)</f>
        <v>12333.333333333332</v>
      </c>
      <c r="X134" s="13">
        <f t="shared" ref="X134" si="285">SUM(X130:X133)</f>
        <v>12083.333333333332</v>
      </c>
      <c r="Y134" s="13">
        <f t="shared" ref="Y134" si="286">SUM(Y130:Y133)</f>
        <v>11833.333333333332</v>
      </c>
      <c r="Z134" s="13">
        <f t="shared" ref="Z134" si="287">SUM(Z130:Z133)</f>
        <v>11583.333333333332</v>
      </c>
      <c r="AA134" s="13">
        <f t="shared" ref="AA134" si="288">SUM(AA130:AA133)</f>
        <v>11333.333333333332</v>
      </c>
      <c r="AB134" s="13">
        <f t="shared" ref="AB134" si="289">SUM(AB130:AB133)</f>
        <v>11083.333333333332</v>
      </c>
      <c r="AC134" s="21">
        <f>AB134</f>
        <v>11083.333333333332</v>
      </c>
      <c r="AD134" s="13">
        <f t="shared" ref="AD134" si="290">SUM(AD130:AD133)</f>
        <v>20666.666666666664</v>
      </c>
      <c r="AE134" s="13">
        <f t="shared" ref="AE134" si="291">SUM(AE130:AE133)</f>
        <v>25166.666666666664</v>
      </c>
      <c r="AF134" s="13">
        <f t="shared" ref="AF134" si="292">SUM(AF130:AF133)</f>
        <v>24666.666666666664</v>
      </c>
      <c r="AG134" s="13">
        <f t="shared" ref="AG134" si="293">SUM(AG130:AG133)</f>
        <v>24166.666666666664</v>
      </c>
      <c r="AH134" s="13">
        <f t="shared" ref="AH134" si="294">SUM(AH130:AH133)</f>
        <v>23666.666666666664</v>
      </c>
      <c r="AI134" s="13">
        <f t="shared" ref="AI134" si="295">SUM(AI130:AI133)</f>
        <v>23166.666666666664</v>
      </c>
      <c r="AJ134" s="13">
        <f t="shared" ref="AJ134" si="296">SUM(AJ130:AJ133)</f>
        <v>22666.666666666664</v>
      </c>
      <c r="AK134" s="13">
        <f t="shared" ref="AK134" si="297">SUM(AK130:AK133)</f>
        <v>22166.666666666664</v>
      </c>
      <c r="AL134" s="13">
        <f t="shared" ref="AL134" si="298">SUM(AL130:AL133)</f>
        <v>21666.666666666664</v>
      </c>
      <c r="AM134" s="13">
        <f t="shared" ref="AM134" si="299">SUM(AM130:AM133)</f>
        <v>21166.666666666664</v>
      </c>
      <c r="AN134" s="13">
        <f t="shared" ref="AN134" si="300">SUM(AN130:AN133)</f>
        <v>20666.666666666664</v>
      </c>
      <c r="AO134" s="13">
        <f t="shared" ref="AO134" si="301">SUM(AO130:AO133)</f>
        <v>20166.666666666664</v>
      </c>
      <c r="AP134" s="21">
        <f>AO134</f>
        <v>20166.666666666664</v>
      </c>
    </row>
    <row r="135" spans="1:42" x14ac:dyDescent="0.3">
      <c r="B135" s="2"/>
      <c r="C135" s="17"/>
      <c r="P135" s="17"/>
      <c r="AC135" s="17"/>
      <c r="AP135" s="17"/>
    </row>
    <row r="136" spans="1:42" s="6" customFormat="1" x14ac:dyDescent="0.3">
      <c r="A136" s="28"/>
      <c r="B136" s="6" t="s">
        <v>259</v>
      </c>
      <c r="C136" s="19"/>
      <c r="D136" s="6">
        <v>2000</v>
      </c>
      <c r="E136" s="6">
        <f>D136+2000</f>
        <v>4000</v>
      </c>
      <c r="F136" s="6">
        <f t="shared" ref="F136:O136" si="302">E136+2000</f>
        <v>6000</v>
      </c>
      <c r="G136" s="6">
        <f t="shared" si="302"/>
        <v>8000</v>
      </c>
      <c r="H136" s="6">
        <f t="shared" si="302"/>
        <v>10000</v>
      </c>
      <c r="I136" s="6">
        <f t="shared" si="302"/>
        <v>12000</v>
      </c>
      <c r="J136" s="6">
        <f t="shared" si="302"/>
        <v>14000</v>
      </c>
      <c r="K136" s="6">
        <f t="shared" si="302"/>
        <v>16000</v>
      </c>
      <c r="L136" s="6">
        <f t="shared" si="302"/>
        <v>18000</v>
      </c>
      <c r="M136" s="6">
        <f t="shared" si="302"/>
        <v>20000</v>
      </c>
      <c r="N136" s="6">
        <f t="shared" si="302"/>
        <v>22000</v>
      </c>
      <c r="O136" s="6">
        <f t="shared" si="302"/>
        <v>24000</v>
      </c>
      <c r="P136" s="19">
        <f>O136</f>
        <v>24000</v>
      </c>
      <c r="Q136" s="6">
        <f>O136+2000</f>
        <v>26000</v>
      </c>
      <c r="R136" s="6">
        <f>Q136+2000</f>
        <v>28000</v>
      </c>
      <c r="S136" s="6">
        <f>R136+2000</f>
        <v>30000</v>
      </c>
      <c r="T136" s="6">
        <f t="shared" ref="T136:AB136" si="303">S136+2000</f>
        <v>32000</v>
      </c>
      <c r="U136" s="6">
        <f t="shared" si="303"/>
        <v>34000</v>
      </c>
      <c r="V136" s="6">
        <f t="shared" si="303"/>
        <v>36000</v>
      </c>
      <c r="W136" s="6">
        <f t="shared" si="303"/>
        <v>38000</v>
      </c>
      <c r="X136" s="6">
        <f t="shared" si="303"/>
        <v>40000</v>
      </c>
      <c r="Y136" s="6">
        <f t="shared" si="303"/>
        <v>42000</v>
      </c>
      <c r="Z136" s="6">
        <f t="shared" si="303"/>
        <v>44000</v>
      </c>
      <c r="AA136" s="6">
        <f t="shared" si="303"/>
        <v>46000</v>
      </c>
      <c r="AB136" s="6">
        <f t="shared" si="303"/>
        <v>48000</v>
      </c>
      <c r="AC136" s="19">
        <f>AB136</f>
        <v>48000</v>
      </c>
      <c r="AD136" s="6">
        <f>AB136+2000</f>
        <v>50000</v>
      </c>
      <c r="AE136" s="6">
        <f>AD136+2000</f>
        <v>52000</v>
      </c>
      <c r="AF136" s="6">
        <f>AE136+2000</f>
        <v>54000</v>
      </c>
      <c r="AG136" s="6">
        <f t="shared" ref="AG136:AO136" si="304">AF136+2000</f>
        <v>56000</v>
      </c>
      <c r="AH136" s="6">
        <f t="shared" si="304"/>
        <v>58000</v>
      </c>
      <c r="AI136" s="6">
        <f t="shared" si="304"/>
        <v>60000</v>
      </c>
      <c r="AJ136" s="6">
        <f t="shared" si="304"/>
        <v>62000</v>
      </c>
      <c r="AK136" s="6">
        <f t="shared" si="304"/>
        <v>64000</v>
      </c>
      <c r="AL136" s="6">
        <f t="shared" si="304"/>
        <v>66000</v>
      </c>
      <c r="AM136" s="6">
        <f t="shared" si="304"/>
        <v>68000</v>
      </c>
      <c r="AN136" s="6">
        <f t="shared" si="304"/>
        <v>70000</v>
      </c>
      <c r="AO136" s="6">
        <f t="shared" si="304"/>
        <v>72000</v>
      </c>
      <c r="AP136" s="19">
        <f>AO136</f>
        <v>72000</v>
      </c>
    </row>
    <row r="137" spans="1:42" x14ac:dyDescent="0.3">
      <c r="B137" t="s">
        <v>260</v>
      </c>
      <c r="C137" s="18"/>
      <c r="D137" s="7">
        <f>-D110</f>
        <v>-33.333333333333336</v>
      </c>
      <c r="E137" s="7">
        <f>-E110+D137</f>
        <v>-100</v>
      </c>
      <c r="F137" s="7">
        <f t="shared" ref="F137:O137" si="305">-F110+E137</f>
        <v>-200</v>
      </c>
      <c r="G137" s="7">
        <f t="shared" si="305"/>
        <v>-333.33333333333337</v>
      </c>
      <c r="H137" s="7">
        <f t="shared" si="305"/>
        <v>-500</v>
      </c>
      <c r="I137" s="7">
        <f t="shared" si="305"/>
        <v>-700</v>
      </c>
      <c r="J137" s="7">
        <f t="shared" si="305"/>
        <v>-933.33333333333337</v>
      </c>
      <c r="K137" s="7">
        <f t="shared" si="305"/>
        <v>-1200</v>
      </c>
      <c r="L137" s="7">
        <f t="shared" si="305"/>
        <v>-1500</v>
      </c>
      <c r="M137" s="7">
        <f t="shared" si="305"/>
        <v>-1833.3333333333333</v>
      </c>
      <c r="N137" s="7">
        <f t="shared" si="305"/>
        <v>-2200</v>
      </c>
      <c r="O137" s="7">
        <f t="shared" si="305"/>
        <v>-2600</v>
      </c>
      <c r="P137" s="18">
        <f>O137</f>
        <v>-2600</v>
      </c>
      <c r="Q137" s="7">
        <f>O137-Q110</f>
        <v>-3033.3333333333335</v>
      </c>
      <c r="R137" s="7">
        <f>Q137-R110</f>
        <v>-3500</v>
      </c>
      <c r="S137" s="7">
        <f t="shared" ref="S137:AB137" si="306">R137-S110</f>
        <v>-4000</v>
      </c>
      <c r="T137" s="7">
        <f t="shared" si="306"/>
        <v>-4533.333333333333</v>
      </c>
      <c r="U137" s="7">
        <f t="shared" si="306"/>
        <v>-5100</v>
      </c>
      <c r="V137" s="7">
        <f t="shared" si="306"/>
        <v>-5700</v>
      </c>
      <c r="W137" s="7">
        <f t="shared" si="306"/>
        <v>-6333.333333333333</v>
      </c>
      <c r="X137" s="7">
        <f t="shared" si="306"/>
        <v>-7000</v>
      </c>
      <c r="Y137" s="7">
        <f t="shared" si="306"/>
        <v>-7700</v>
      </c>
      <c r="Z137" s="7">
        <f t="shared" si="306"/>
        <v>-8433.3333333333339</v>
      </c>
      <c r="AA137" s="7">
        <f t="shared" si="306"/>
        <v>-9200</v>
      </c>
      <c r="AB137" s="7">
        <f t="shared" si="306"/>
        <v>-10000</v>
      </c>
      <c r="AC137" s="18">
        <f>AB137</f>
        <v>-10000</v>
      </c>
      <c r="AD137" s="7">
        <f>AB137-AD110</f>
        <v>-10833.333333333334</v>
      </c>
      <c r="AE137" s="7">
        <f>AD137-AE110</f>
        <v>-11700</v>
      </c>
      <c r="AF137" s="7">
        <f t="shared" ref="AF137:AO137" si="307">AE137-AF110</f>
        <v>-12600</v>
      </c>
      <c r="AG137" s="7">
        <f t="shared" si="307"/>
        <v>-13533.333333333334</v>
      </c>
      <c r="AH137" s="7">
        <f t="shared" si="307"/>
        <v>-14500</v>
      </c>
      <c r="AI137" s="7">
        <f t="shared" si="307"/>
        <v>-15500</v>
      </c>
      <c r="AJ137" s="7">
        <f t="shared" si="307"/>
        <v>-16533.333333333332</v>
      </c>
      <c r="AK137" s="7">
        <f t="shared" si="307"/>
        <v>-17600</v>
      </c>
      <c r="AL137" s="7">
        <f t="shared" si="307"/>
        <v>-18700</v>
      </c>
      <c r="AM137" s="7">
        <f t="shared" si="307"/>
        <v>-19833.333333333332</v>
      </c>
      <c r="AN137" s="7">
        <f t="shared" si="307"/>
        <v>-21000</v>
      </c>
      <c r="AO137" s="7">
        <f t="shared" si="307"/>
        <v>-22200</v>
      </c>
      <c r="AP137" s="18">
        <f>AO137</f>
        <v>-22200</v>
      </c>
    </row>
    <row r="138" spans="1:42" x14ac:dyDescent="0.3">
      <c r="B138" t="s">
        <v>309</v>
      </c>
      <c r="C138" s="18">
        <f>C123*-1</f>
        <v>3450</v>
      </c>
      <c r="D138" s="7">
        <f>C138</f>
        <v>3450</v>
      </c>
      <c r="E138" s="7">
        <f>D138</f>
        <v>3450</v>
      </c>
      <c r="F138" s="7">
        <f t="shared" ref="F138:O138" si="308">E138</f>
        <v>3450</v>
      </c>
      <c r="G138" s="7">
        <f t="shared" si="308"/>
        <v>3450</v>
      </c>
      <c r="H138" s="7">
        <f t="shared" si="308"/>
        <v>3450</v>
      </c>
      <c r="I138" s="7">
        <f t="shared" si="308"/>
        <v>3450</v>
      </c>
      <c r="J138" s="7">
        <f t="shared" si="308"/>
        <v>3450</v>
      </c>
      <c r="K138" s="7">
        <f t="shared" si="308"/>
        <v>3450</v>
      </c>
      <c r="L138" s="7">
        <f t="shared" si="308"/>
        <v>3450</v>
      </c>
      <c r="M138" s="7">
        <f t="shared" si="308"/>
        <v>3450</v>
      </c>
      <c r="N138" s="7">
        <f t="shared" si="308"/>
        <v>3450</v>
      </c>
      <c r="O138" s="7">
        <f t="shared" si="308"/>
        <v>3450</v>
      </c>
      <c r="P138" s="18">
        <f>O138</f>
        <v>3450</v>
      </c>
      <c r="Q138" s="7">
        <f>O138</f>
        <v>3450</v>
      </c>
      <c r="R138" s="7">
        <f>Q138</f>
        <v>3450</v>
      </c>
      <c r="S138" s="7">
        <f t="shared" ref="S138" si="309">R138</f>
        <v>3450</v>
      </c>
      <c r="T138" s="7">
        <f t="shared" ref="T138" si="310">S138</f>
        <v>3450</v>
      </c>
      <c r="U138" s="7">
        <f t="shared" ref="U138" si="311">T138</f>
        <v>3450</v>
      </c>
      <c r="V138" s="7">
        <f t="shared" ref="V138" si="312">U138</f>
        <v>3450</v>
      </c>
      <c r="W138" s="7">
        <f t="shared" ref="W138" si="313">V138</f>
        <v>3450</v>
      </c>
      <c r="X138" s="7">
        <f t="shared" ref="X138" si="314">W138</f>
        <v>3450</v>
      </c>
      <c r="Y138" s="7">
        <f t="shared" ref="Y138" si="315">X138</f>
        <v>3450</v>
      </c>
      <c r="Z138" s="7">
        <f t="shared" ref="Z138" si="316">Y138</f>
        <v>3450</v>
      </c>
      <c r="AA138" s="7">
        <f t="shared" ref="AA138" si="317">Z138</f>
        <v>3450</v>
      </c>
      <c r="AB138" s="7">
        <f t="shared" ref="AB138" si="318">AA138</f>
        <v>3450</v>
      </c>
      <c r="AC138" s="18">
        <f>AB138</f>
        <v>3450</v>
      </c>
      <c r="AD138" s="7">
        <f>AB138</f>
        <v>3450</v>
      </c>
      <c r="AE138" s="7">
        <f>AD138</f>
        <v>3450</v>
      </c>
      <c r="AF138" s="7">
        <f t="shared" ref="AF138" si="319">AE138</f>
        <v>3450</v>
      </c>
      <c r="AG138" s="7">
        <f t="shared" ref="AG138" si="320">AF138</f>
        <v>3450</v>
      </c>
      <c r="AH138" s="7">
        <f t="shared" ref="AH138" si="321">AG138</f>
        <v>3450</v>
      </c>
      <c r="AI138" s="7">
        <f t="shared" ref="AI138" si="322">AH138</f>
        <v>3450</v>
      </c>
      <c r="AJ138" s="7">
        <f t="shared" ref="AJ138" si="323">AI138</f>
        <v>3450</v>
      </c>
      <c r="AK138" s="7">
        <f t="shared" ref="AK138" si="324">AJ138</f>
        <v>3450</v>
      </c>
      <c r="AL138" s="7">
        <f t="shared" ref="AL138" si="325">AK138</f>
        <v>3450</v>
      </c>
      <c r="AM138" s="7">
        <f t="shared" ref="AM138" si="326">AL138</f>
        <v>3450</v>
      </c>
      <c r="AN138" s="7">
        <f t="shared" ref="AN138" si="327">AM138</f>
        <v>3450</v>
      </c>
      <c r="AO138" s="7">
        <f t="shared" ref="AO138" si="328">AN138</f>
        <v>3450</v>
      </c>
      <c r="AP138" s="18">
        <f>AO138</f>
        <v>3450</v>
      </c>
    </row>
    <row r="139" spans="1:42" x14ac:dyDescent="0.3">
      <c r="B139" s="2" t="s">
        <v>261</v>
      </c>
      <c r="C139" s="21">
        <f>SUM(C136:C138)</f>
        <v>3450</v>
      </c>
      <c r="D139" s="13">
        <f>SUM(D136:D138)</f>
        <v>5416.666666666667</v>
      </c>
      <c r="E139" s="13">
        <f t="shared" ref="E139:O139" si="329">SUM(E136:E138)</f>
        <v>7350</v>
      </c>
      <c r="F139" s="13">
        <f t="shared" si="329"/>
        <v>9250</v>
      </c>
      <c r="G139" s="13">
        <f t="shared" si="329"/>
        <v>11116.666666666668</v>
      </c>
      <c r="H139" s="13">
        <f t="shared" si="329"/>
        <v>12950</v>
      </c>
      <c r="I139" s="13">
        <f t="shared" si="329"/>
        <v>14750</v>
      </c>
      <c r="J139" s="13">
        <f t="shared" si="329"/>
        <v>16516.666666666664</v>
      </c>
      <c r="K139" s="13">
        <f t="shared" si="329"/>
        <v>18250</v>
      </c>
      <c r="L139" s="13">
        <f t="shared" si="329"/>
        <v>19950</v>
      </c>
      <c r="M139" s="13">
        <f t="shared" si="329"/>
        <v>21616.666666666668</v>
      </c>
      <c r="N139" s="13">
        <f t="shared" si="329"/>
        <v>23250</v>
      </c>
      <c r="O139" s="13">
        <f t="shared" si="329"/>
        <v>24850</v>
      </c>
      <c r="P139" s="21">
        <f>O139</f>
        <v>24850</v>
      </c>
      <c r="Q139" s="13">
        <f t="shared" ref="Q139" si="330">SUM(Q136:Q138)</f>
        <v>26416.666666666668</v>
      </c>
      <c r="R139" s="13">
        <f t="shared" ref="R139:S139" si="331">SUM(R136:R138)</f>
        <v>27950</v>
      </c>
      <c r="S139" s="13">
        <f t="shared" si="331"/>
        <v>29450</v>
      </c>
      <c r="T139" s="13">
        <f t="shared" ref="T139:AB139" si="332">SUM(T136:T138)</f>
        <v>30916.666666666668</v>
      </c>
      <c r="U139" s="13">
        <f t="shared" si="332"/>
        <v>32350</v>
      </c>
      <c r="V139" s="13">
        <f t="shared" si="332"/>
        <v>33750</v>
      </c>
      <c r="W139" s="13">
        <f t="shared" si="332"/>
        <v>35116.666666666672</v>
      </c>
      <c r="X139" s="13">
        <f t="shared" si="332"/>
        <v>36450</v>
      </c>
      <c r="Y139" s="13">
        <f t="shared" si="332"/>
        <v>37750</v>
      </c>
      <c r="Z139" s="13">
        <f t="shared" si="332"/>
        <v>39016.666666666664</v>
      </c>
      <c r="AA139" s="13">
        <f t="shared" si="332"/>
        <v>40250</v>
      </c>
      <c r="AB139" s="13">
        <f t="shared" si="332"/>
        <v>41450</v>
      </c>
      <c r="AC139" s="21">
        <f>AB139</f>
        <v>41450</v>
      </c>
      <c r="AD139" s="13">
        <f t="shared" ref="AD139:AO139" si="333">SUM(AD136:AD138)</f>
        <v>42616.666666666664</v>
      </c>
      <c r="AE139" s="13">
        <f t="shared" si="333"/>
        <v>43750</v>
      </c>
      <c r="AF139" s="13">
        <f t="shared" si="333"/>
        <v>44850</v>
      </c>
      <c r="AG139" s="13">
        <f t="shared" si="333"/>
        <v>45916.666666666664</v>
      </c>
      <c r="AH139" s="13">
        <f t="shared" si="333"/>
        <v>46950</v>
      </c>
      <c r="AI139" s="13">
        <f t="shared" si="333"/>
        <v>47950</v>
      </c>
      <c r="AJ139" s="13">
        <f t="shared" si="333"/>
        <v>48916.666666666672</v>
      </c>
      <c r="AK139" s="13">
        <f t="shared" si="333"/>
        <v>49850</v>
      </c>
      <c r="AL139" s="13">
        <f t="shared" si="333"/>
        <v>50750</v>
      </c>
      <c r="AM139" s="13">
        <f t="shared" si="333"/>
        <v>51616.666666666672</v>
      </c>
      <c r="AN139" s="13">
        <f t="shared" si="333"/>
        <v>52450</v>
      </c>
      <c r="AO139" s="13">
        <f t="shared" si="333"/>
        <v>53250</v>
      </c>
      <c r="AP139" s="21">
        <f>AO139</f>
        <v>53250</v>
      </c>
    </row>
    <row r="140" spans="1:42" x14ac:dyDescent="0.3">
      <c r="C140" s="17"/>
      <c r="P140" s="17"/>
      <c r="AC140" s="17"/>
      <c r="AP140" s="17"/>
    </row>
    <row r="141" spans="1:42" x14ac:dyDescent="0.3">
      <c r="B141" t="s">
        <v>262</v>
      </c>
      <c r="C141" s="19"/>
      <c r="D141" s="7">
        <f>(D79*12)/365*20</f>
        <v>13150.684931506848</v>
      </c>
      <c r="E141" s="7">
        <f t="shared" ref="E141:O141" si="334">(E79*12)/365*20</f>
        <v>13150.684931506848</v>
      </c>
      <c r="F141" s="7">
        <f t="shared" si="334"/>
        <v>19726.027397260274</v>
      </c>
      <c r="G141" s="7">
        <f t="shared" si="334"/>
        <v>14301.369863013699</v>
      </c>
      <c r="H141" s="7">
        <f t="shared" si="334"/>
        <v>14301.369863013699</v>
      </c>
      <c r="I141" s="7">
        <f t="shared" si="334"/>
        <v>22520.547945205479</v>
      </c>
      <c r="J141" s="7">
        <f t="shared" si="334"/>
        <v>21698.630136986303</v>
      </c>
      <c r="K141" s="7">
        <f t="shared" si="334"/>
        <v>21698.630136986303</v>
      </c>
      <c r="L141" s="7">
        <f t="shared" si="334"/>
        <v>36493.150684931505</v>
      </c>
      <c r="M141" s="7">
        <f t="shared" si="334"/>
        <v>35013.698630136991</v>
      </c>
      <c r="N141" s="7">
        <f t="shared" si="334"/>
        <v>35013.698630136991</v>
      </c>
      <c r="O141" s="7">
        <f t="shared" si="334"/>
        <v>56383.561643835623</v>
      </c>
      <c r="P141" s="19">
        <f>O141</f>
        <v>56383.561643835623</v>
      </c>
      <c r="Q141" s="7">
        <f>(Q79*12)/365*20</f>
        <v>56967.123287671231</v>
      </c>
      <c r="R141" s="7">
        <f t="shared" ref="R141:AB141" si="335">(R79*12)/365*20</f>
        <v>63542.465753424658</v>
      </c>
      <c r="S141" s="7">
        <f t="shared" si="335"/>
        <v>71490.410958904118</v>
      </c>
      <c r="T141" s="7">
        <f t="shared" si="335"/>
        <v>79939.726027397264</v>
      </c>
      <c r="U141" s="7">
        <f t="shared" si="335"/>
        <v>86243.835616438359</v>
      </c>
      <c r="V141" s="7">
        <f t="shared" si="335"/>
        <v>87345.205479452052</v>
      </c>
      <c r="W141" s="7">
        <f t="shared" si="335"/>
        <v>87345.205479452052</v>
      </c>
      <c r="X141" s="7">
        <f t="shared" si="335"/>
        <v>93920.547945205471</v>
      </c>
      <c r="Y141" s="7">
        <f t="shared" si="335"/>
        <v>100224.65753424658</v>
      </c>
      <c r="Z141" s="7">
        <f t="shared" si="335"/>
        <v>101326.02739726027</v>
      </c>
      <c r="AA141" s="7">
        <f t="shared" si="335"/>
        <v>101326.02739726027</v>
      </c>
      <c r="AB141" s="7">
        <f t="shared" si="335"/>
        <v>140778.08219178082</v>
      </c>
      <c r="AC141" s="19">
        <f>AB141</f>
        <v>140778.08219178082</v>
      </c>
      <c r="AD141" s="7">
        <f>(AD79*12)/365*20</f>
        <v>151199.17808219176</v>
      </c>
      <c r="AE141" s="7">
        <f t="shared" ref="AE141:AO141" si="336">(AE79*12)/365*20</f>
        <v>157774.52054794523</v>
      </c>
      <c r="AF141" s="7">
        <f t="shared" si="336"/>
        <v>165955.47945205477</v>
      </c>
      <c r="AG141" s="7">
        <f t="shared" si="336"/>
        <v>174991.64383561644</v>
      </c>
      <c r="AH141" s="7">
        <f t="shared" si="336"/>
        <v>181528.76712328769</v>
      </c>
      <c r="AI141" s="7">
        <f t="shared" si="336"/>
        <v>183096.16438356164</v>
      </c>
      <c r="AJ141" s="7">
        <f t="shared" si="336"/>
        <v>183096.16438356164</v>
      </c>
      <c r="AK141" s="7">
        <f t="shared" si="336"/>
        <v>189671.50684931508</v>
      </c>
      <c r="AL141" s="7">
        <f t="shared" si="336"/>
        <v>196208.63013698629</v>
      </c>
      <c r="AM141" s="7">
        <f t="shared" si="336"/>
        <v>197776.02739726024</v>
      </c>
      <c r="AN141" s="7">
        <f t="shared" si="336"/>
        <v>197776.02739726024</v>
      </c>
      <c r="AO141" s="7">
        <f t="shared" si="336"/>
        <v>197776.02739726024</v>
      </c>
      <c r="AP141" s="19">
        <f>AO141</f>
        <v>197776.02739726024</v>
      </c>
    </row>
    <row r="142" spans="1:42" x14ac:dyDescent="0.3">
      <c r="B142" t="s">
        <v>263</v>
      </c>
      <c r="C142" s="19"/>
      <c r="P142" s="19"/>
      <c r="AC142" s="19"/>
      <c r="AP142" s="19"/>
    </row>
    <row r="143" spans="1:42" x14ac:dyDescent="0.3">
      <c r="B143" t="s">
        <v>264</v>
      </c>
      <c r="C143" s="19"/>
      <c r="P143" s="19"/>
      <c r="AC143" s="19"/>
      <c r="AP143" s="19"/>
    </row>
    <row r="144" spans="1:42" x14ac:dyDescent="0.3">
      <c r="B144" t="s">
        <v>265</v>
      </c>
      <c r="C144" s="19"/>
      <c r="P144" s="19"/>
      <c r="AC144" s="19"/>
      <c r="AP144" s="19"/>
    </row>
    <row r="145" spans="2:42" x14ac:dyDescent="0.3">
      <c r="B145" t="s">
        <v>277</v>
      </c>
      <c r="C145" s="19"/>
      <c r="P145" s="19"/>
      <c r="AC145" s="19"/>
      <c r="AP145" s="19"/>
    </row>
    <row r="146" spans="2:42" x14ac:dyDescent="0.3">
      <c r="B146" s="2" t="s">
        <v>310</v>
      </c>
      <c r="C146" s="19">
        <f>SUM(C141:C145)</f>
        <v>0</v>
      </c>
      <c r="D146" s="13">
        <f t="shared" ref="D146:Q146" si="337">SUM(D141:D145)</f>
        <v>13150.684931506848</v>
      </c>
      <c r="E146" s="13">
        <f t="shared" si="337"/>
        <v>13150.684931506848</v>
      </c>
      <c r="F146" s="13">
        <f t="shared" si="337"/>
        <v>19726.027397260274</v>
      </c>
      <c r="G146" s="13">
        <f t="shared" si="337"/>
        <v>14301.369863013699</v>
      </c>
      <c r="H146" s="13">
        <f t="shared" si="337"/>
        <v>14301.369863013699</v>
      </c>
      <c r="I146" s="13">
        <f t="shared" si="337"/>
        <v>22520.547945205479</v>
      </c>
      <c r="J146" s="13">
        <f t="shared" si="337"/>
        <v>21698.630136986303</v>
      </c>
      <c r="K146" s="13">
        <f t="shared" si="337"/>
        <v>21698.630136986303</v>
      </c>
      <c r="L146" s="13">
        <f t="shared" si="337"/>
        <v>36493.150684931505</v>
      </c>
      <c r="M146" s="13">
        <f t="shared" si="337"/>
        <v>35013.698630136991</v>
      </c>
      <c r="N146" s="13">
        <f t="shared" si="337"/>
        <v>35013.698630136991</v>
      </c>
      <c r="O146" s="13">
        <f t="shared" si="337"/>
        <v>56383.561643835623</v>
      </c>
      <c r="P146" s="19">
        <f t="shared" si="337"/>
        <v>56383.561643835623</v>
      </c>
      <c r="Q146" s="13">
        <f t="shared" si="337"/>
        <v>56967.123287671231</v>
      </c>
      <c r="R146" s="13">
        <f t="shared" ref="R146:AD146" si="338">SUM(R141:R145)</f>
        <v>63542.465753424658</v>
      </c>
      <c r="S146" s="13">
        <f t="shared" si="338"/>
        <v>71490.410958904118</v>
      </c>
      <c r="T146" s="13">
        <f t="shared" si="338"/>
        <v>79939.726027397264</v>
      </c>
      <c r="U146" s="13">
        <f t="shared" si="338"/>
        <v>86243.835616438359</v>
      </c>
      <c r="V146" s="13">
        <f t="shared" si="338"/>
        <v>87345.205479452052</v>
      </c>
      <c r="W146" s="13">
        <f t="shared" si="338"/>
        <v>87345.205479452052</v>
      </c>
      <c r="X146" s="13">
        <f t="shared" si="338"/>
        <v>93920.547945205471</v>
      </c>
      <c r="Y146" s="13">
        <f t="shared" si="338"/>
        <v>100224.65753424658</v>
      </c>
      <c r="Z146" s="13">
        <f t="shared" si="338"/>
        <v>101326.02739726027</v>
      </c>
      <c r="AA146" s="13">
        <f t="shared" si="338"/>
        <v>101326.02739726027</v>
      </c>
      <c r="AB146" s="13">
        <f t="shared" si="338"/>
        <v>140778.08219178082</v>
      </c>
      <c r="AC146" s="19">
        <f t="shared" si="338"/>
        <v>140778.08219178082</v>
      </c>
      <c r="AD146" s="13">
        <f t="shared" si="338"/>
        <v>151199.17808219176</v>
      </c>
      <c r="AE146" s="13">
        <f t="shared" ref="AE146:AP146" si="339">SUM(AE141:AE145)</f>
        <v>157774.52054794523</v>
      </c>
      <c r="AF146" s="13">
        <f t="shared" si="339"/>
        <v>165955.47945205477</v>
      </c>
      <c r="AG146" s="13">
        <f t="shared" si="339"/>
        <v>174991.64383561644</v>
      </c>
      <c r="AH146" s="13">
        <f t="shared" si="339"/>
        <v>181528.76712328769</v>
      </c>
      <c r="AI146" s="13">
        <f t="shared" si="339"/>
        <v>183096.16438356164</v>
      </c>
      <c r="AJ146" s="13">
        <f t="shared" si="339"/>
        <v>183096.16438356164</v>
      </c>
      <c r="AK146" s="13">
        <f t="shared" si="339"/>
        <v>189671.50684931508</v>
      </c>
      <c r="AL146" s="13">
        <f t="shared" si="339"/>
        <v>196208.63013698629</v>
      </c>
      <c r="AM146" s="13">
        <f t="shared" si="339"/>
        <v>197776.02739726024</v>
      </c>
      <c r="AN146" s="13">
        <f t="shared" si="339"/>
        <v>197776.02739726024</v>
      </c>
      <c r="AO146" s="13">
        <f t="shared" si="339"/>
        <v>197776.02739726024</v>
      </c>
      <c r="AP146" s="19">
        <f t="shared" si="339"/>
        <v>197776.02739726024</v>
      </c>
    </row>
    <row r="147" spans="2:42" x14ac:dyDescent="0.3">
      <c r="C147" s="19"/>
      <c r="P147" s="19"/>
      <c r="AC147" s="19"/>
      <c r="AP147" s="19"/>
    </row>
    <row r="148" spans="2:42" x14ac:dyDescent="0.3">
      <c r="B148" s="2" t="s">
        <v>266</v>
      </c>
      <c r="C148" s="19">
        <f>C215</f>
        <v>5000</v>
      </c>
      <c r="D148" s="13">
        <f>D215</f>
        <v>-3416.7029223744285</v>
      </c>
      <c r="E148" s="13">
        <f t="shared" ref="E148:Q148" si="340">E215</f>
        <v>-9870.0031050228317</v>
      </c>
      <c r="F148" s="13">
        <f t="shared" si="340"/>
        <v>-9406.3389041095943</v>
      </c>
      <c r="G148" s="13">
        <f t="shared" si="340"/>
        <v>-4158.6240182648435</v>
      </c>
      <c r="H148" s="13">
        <f t="shared" si="340"/>
        <v>-6520.4173515981784</v>
      </c>
      <c r="I148" s="13">
        <f t="shared" si="340"/>
        <v>-4213.0887671232922</v>
      </c>
      <c r="J148" s="13">
        <f t="shared" si="340"/>
        <v>-16975.931004566221</v>
      </c>
      <c r="K148" s="13">
        <f t="shared" si="340"/>
        <v>-37704.814337899552</v>
      </c>
      <c r="L148" s="13">
        <f t="shared" si="340"/>
        <v>-55190.546164383566</v>
      </c>
      <c r="M148" s="13">
        <f t="shared" si="340"/>
        <v>-51085.570867579925</v>
      </c>
      <c r="N148" s="13">
        <f t="shared" si="340"/>
        <v>-55463.234200913255</v>
      </c>
      <c r="O148" s="13">
        <f t="shared" si="340"/>
        <v>-54579.70054794522</v>
      </c>
      <c r="P148" s="19">
        <f t="shared" si="340"/>
        <v>-54579.70054794522</v>
      </c>
      <c r="Q148" s="13">
        <f t="shared" si="340"/>
        <v>-34547.69486598175</v>
      </c>
      <c r="R148" s="13">
        <f t="shared" ref="R148:S148" si="341">R215</f>
        <v>-29605.127698401855</v>
      </c>
      <c r="S148" s="13">
        <f t="shared" si="341"/>
        <v>-27382.341784931552</v>
      </c>
      <c r="T148" s="13">
        <f t="shared" ref="T148:AF148" si="342">T215</f>
        <v>1510.5320477168534</v>
      </c>
      <c r="U148" s="13">
        <f t="shared" si="342"/>
        <v>-11798.721660502328</v>
      </c>
      <c r="V148" s="13">
        <f t="shared" si="342"/>
        <v>-12978.826417351627</v>
      </c>
      <c r="W148" s="13">
        <f t="shared" si="342"/>
        <v>16514.290032648372</v>
      </c>
      <c r="X148" s="13">
        <f t="shared" si="342"/>
        <v>34868.416666894955</v>
      </c>
      <c r="Y148" s="13">
        <f t="shared" si="342"/>
        <v>40015.523805022793</v>
      </c>
      <c r="Z148" s="13">
        <f t="shared" si="342"/>
        <v>83018.309478767071</v>
      </c>
      <c r="AA148" s="13">
        <f t="shared" si="342"/>
        <v>105580.04691210041</v>
      </c>
      <c r="AB148" s="13">
        <f t="shared" si="342"/>
        <v>128409.7772009132</v>
      </c>
      <c r="AC148" s="19">
        <f t="shared" si="342"/>
        <v>128409.77720091317</v>
      </c>
      <c r="AD148" s="13">
        <f t="shared" si="342"/>
        <v>202194.90908867348</v>
      </c>
      <c r="AE148" s="13">
        <f t="shared" si="342"/>
        <v>237455.56842360497</v>
      </c>
      <c r="AF148" s="13">
        <f t="shared" si="342"/>
        <v>254481.83596461185</v>
      </c>
      <c r="AG148" s="13">
        <f t="shared" ref="AG148:AP148" si="343">AG215</f>
        <v>338479.2069932397</v>
      </c>
      <c r="AH148" s="13">
        <f t="shared" si="343"/>
        <v>341126.68232383335</v>
      </c>
      <c r="AI148" s="13">
        <f t="shared" si="343"/>
        <v>367130.2915968037</v>
      </c>
      <c r="AJ148" s="13">
        <f t="shared" si="343"/>
        <v>471210.716820637</v>
      </c>
      <c r="AK148" s="13">
        <f t="shared" si="343"/>
        <v>542058.49853821693</v>
      </c>
      <c r="AL148" s="13">
        <f t="shared" si="343"/>
        <v>579922.22407831054</v>
      </c>
      <c r="AM148" s="13">
        <f t="shared" si="343"/>
        <v>689212.85312337684</v>
      </c>
      <c r="AN148" s="13">
        <f t="shared" si="343"/>
        <v>755988.89220671018</v>
      </c>
      <c r="AO148" s="13">
        <f t="shared" si="343"/>
        <v>781225.62899954338</v>
      </c>
      <c r="AP148" s="19">
        <f t="shared" si="343"/>
        <v>781225.62899954326</v>
      </c>
    </row>
    <row r="149" spans="2:42" x14ac:dyDescent="0.3">
      <c r="C149" s="19"/>
      <c r="P149" s="19"/>
      <c r="AC149" s="19"/>
      <c r="AP149" s="19"/>
    </row>
    <row r="150" spans="2:42" x14ac:dyDescent="0.3">
      <c r="B150" s="2" t="s">
        <v>267</v>
      </c>
      <c r="C150" s="19">
        <f>C134+C139+C146+C148</f>
        <v>8450</v>
      </c>
      <c r="D150" s="12">
        <f t="shared" ref="D150:O150" si="344">D134+D139+D146+D148</f>
        <v>20067.315342465754</v>
      </c>
      <c r="E150" s="12">
        <f t="shared" si="344"/>
        <v>15464.015159817351</v>
      </c>
      <c r="F150" s="12">
        <f t="shared" si="344"/>
        <v>24319.688493150679</v>
      </c>
      <c r="G150" s="12">
        <f t="shared" si="344"/>
        <v>25926.079178082193</v>
      </c>
      <c r="H150" s="12">
        <f t="shared" si="344"/>
        <v>25314.285844748851</v>
      </c>
      <c r="I150" s="12">
        <f t="shared" si="344"/>
        <v>37557.459178082187</v>
      </c>
      <c r="J150" s="12">
        <f t="shared" si="344"/>
        <v>25656.032465753415</v>
      </c>
      <c r="K150" s="12">
        <f t="shared" si="344"/>
        <v>6577.1491324200833</v>
      </c>
      <c r="L150" s="12">
        <f t="shared" si="344"/>
        <v>5502.6045205479386</v>
      </c>
      <c r="M150" s="12">
        <f t="shared" si="344"/>
        <v>9711.4610958904013</v>
      </c>
      <c r="N150" s="12">
        <f t="shared" si="344"/>
        <v>6883.7977625570638</v>
      </c>
      <c r="O150" s="12">
        <f t="shared" si="344"/>
        <v>30653.861095890403</v>
      </c>
      <c r="P150" s="19">
        <f>P134+P139+P146+P148</f>
        <v>30653.861095890403</v>
      </c>
      <c r="Q150" s="12">
        <f t="shared" ref="Q150" si="345">Q134+Q139+Q146+Q148</f>
        <v>57669.428421689481</v>
      </c>
      <c r="R150" s="12">
        <f t="shared" ref="R150:S150" si="346">R134+R139+R146+R148</f>
        <v>75470.671388356132</v>
      </c>
      <c r="S150" s="12">
        <f t="shared" si="346"/>
        <v>86891.402507305902</v>
      </c>
      <c r="T150" s="12">
        <f t="shared" ref="T150:AB150" si="347">T134+T139+T146+T148</f>
        <v>125450.25807511412</v>
      </c>
      <c r="U150" s="12">
        <f t="shared" si="347"/>
        <v>119628.44728926934</v>
      </c>
      <c r="V150" s="12">
        <f t="shared" si="347"/>
        <v>120699.71239543376</v>
      </c>
      <c r="W150" s="12">
        <f t="shared" si="347"/>
        <v>151309.4955121004</v>
      </c>
      <c r="X150" s="12">
        <f t="shared" si="347"/>
        <v>177322.29794543373</v>
      </c>
      <c r="Y150" s="12">
        <f t="shared" si="347"/>
        <v>189823.5146726027</v>
      </c>
      <c r="Z150" s="12">
        <f t="shared" si="347"/>
        <v>234944.33687602734</v>
      </c>
      <c r="AA150" s="12">
        <f t="shared" si="347"/>
        <v>258489.40764269402</v>
      </c>
      <c r="AB150" s="12">
        <f t="shared" si="347"/>
        <v>321721.19272602734</v>
      </c>
      <c r="AC150" s="19">
        <f>AC134+AC139+AC146+AC148</f>
        <v>321721.19272602734</v>
      </c>
      <c r="AD150" s="12">
        <f t="shared" ref="AD150:AO150" si="348">AD134+AD139+AD146+AD148</f>
        <v>416677.42050419858</v>
      </c>
      <c r="AE150" s="12">
        <f t="shared" si="348"/>
        <v>464146.75563821686</v>
      </c>
      <c r="AF150" s="12">
        <f t="shared" si="348"/>
        <v>489953.98208333331</v>
      </c>
      <c r="AG150" s="12">
        <f t="shared" si="348"/>
        <v>583554.18416218949</v>
      </c>
      <c r="AH150" s="12">
        <f t="shared" si="348"/>
        <v>593272.11611378775</v>
      </c>
      <c r="AI150" s="12">
        <f t="shared" si="348"/>
        <v>621343.12264703203</v>
      </c>
      <c r="AJ150" s="12">
        <f t="shared" si="348"/>
        <v>725890.21453753195</v>
      </c>
      <c r="AK150" s="12">
        <f t="shared" si="348"/>
        <v>803746.67205419869</v>
      </c>
      <c r="AL150" s="12">
        <f t="shared" si="348"/>
        <v>848547.52088196343</v>
      </c>
      <c r="AM150" s="12">
        <f t="shared" si="348"/>
        <v>959772.2138539704</v>
      </c>
      <c r="AN150" s="12">
        <f t="shared" si="348"/>
        <v>1026881.5862706371</v>
      </c>
      <c r="AO150" s="12">
        <f t="shared" si="348"/>
        <v>1052418.3230634704</v>
      </c>
      <c r="AP150" s="19">
        <f>AP134+AP139+AP146+AP148</f>
        <v>1052418.3230634702</v>
      </c>
    </row>
    <row r="151" spans="2:42" x14ac:dyDescent="0.3">
      <c r="C151" s="19"/>
      <c r="P151" s="19"/>
      <c r="AC151" s="19"/>
      <c r="AP151" s="19"/>
    </row>
    <row r="152" spans="2:42" x14ac:dyDescent="0.3">
      <c r="B152" t="s">
        <v>268</v>
      </c>
      <c r="C152" s="19">
        <v>1000</v>
      </c>
      <c r="D152" s="7">
        <f>C152</f>
        <v>1000</v>
      </c>
      <c r="E152" s="7">
        <f t="shared" ref="E152:O152" si="349">D152</f>
        <v>1000</v>
      </c>
      <c r="F152" s="7">
        <f t="shared" si="349"/>
        <v>1000</v>
      </c>
      <c r="G152" s="7">
        <f t="shared" si="349"/>
        <v>1000</v>
      </c>
      <c r="H152" s="7">
        <f t="shared" si="349"/>
        <v>1000</v>
      </c>
      <c r="I152" s="7">
        <f t="shared" si="349"/>
        <v>1000</v>
      </c>
      <c r="J152" s="7">
        <f t="shared" si="349"/>
        <v>1000</v>
      </c>
      <c r="K152" s="7">
        <f t="shared" si="349"/>
        <v>1000</v>
      </c>
      <c r="L152" s="7">
        <f t="shared" si="349"/>
        <v>1000</v>
      </c>
      <c r="M152" s="7">
        <f t="shared" si="349"/>
        <v>1000</v>
      </c>
      <c r="N152" s="7">
        <f t="shared" si="349"/>
        <v>1000</v>
      </c>
      <c r="O152" s="7">
        <f t="shared" si="349"/>
        <v>1000</v>
      </c>
      <c r="P152" s="19">
        <f>O152</f>
        <v>1000</v>
      </c>
      <c r="Q152" s="7">
        <f>O152</f>
        <v>1000</v>
      </c>
      <c r="R152" s="7">
        <f>Q152</f>
        <v>1000</v>
      </c>
      <c r="S152" s="7">
        <f t="shared" ref="S152" si="350">R152</f>
        <v>1000</v>
      </c>
      <c r="T152" s="7">
        <f t="shared" ref="T152:T154" si="351">S152</f>
        <v>1000</v>
      </c>
      <c r="U152" s="7">
        <f t="shared" ref="U152:U154" si="352">T152</f>
        <v>1000</v>
      </c>
      <c r="V152" s="7">
        <f t="shared" ref="V152:V154" si="353">U152</f>
        <v>1000</v>
      </c>
      <c r="W152" s="7">
        <f t="shared" ref="W152:W154" si="354">V152</f>
        <v>1000</v>
      </c>
      <c r="X152" s="7">
        <f t="shared" ref="X152:X154" si="355">W152</f>
        <v>1000</v>
      </c>
      <c r="Y152" s="7">
        <f t="shared" ref="Y152:Y154" si="356">X152</f>
        <v>1000</v>
      </c>
      <c r="Z152" s="7">
        <f t="shared" ref="Z152:Z154" si="357">Y152</f>
        <v>1000</v>
      </c>
      <c r="AA152" s="7">
        <f t="shared" ref="AA152:AA154" si="358">Z152</f>
        <v>1000</v>
      </c>
      <c r="AB152" s="7">
        <f t="shared" ref="AB152:AC155" si="359">AA152</f>
        <v>1000</v>
      </c>
      <c r="AC152" s="19">
        <f>AB152</f>
        <v>1000</v>
      </c>
      <c r="AD152" s="7">
        <f>AB152</f>
        <v>1000</v>
      </c>
      <c r="AE152" s="7">
        <f>AD152</f>
        <v>1000</v>
      </c>
      <c r="AF152" s="7">
        <f t="shared" ref="AF152:AF154" si="360">AE152</f>
        <v>1000</v>
      </c>
      <c r="AG152" s="7">
        <f t="shared" ref="AG152:AG154" si="361">AF152</f>
        <v>1000</v>
      </c>
      <c r="AH152" s="7">
        <f t="shared" ref="AH152:AH154" si="362">AG152</f>
        <v>1000</v>
      </c>
      <c r="AI152" s="7">
        <f t="shared" ref="AI152:AI154" si="363">AH152</f>
        <v>1000</v>
      </c>
      <c r="AJ152" s="7">
        <f t="shared" ref="AJ152:AJ154" si="364">AI152</f>
        <v>1000</v>
      </c>
      <c r="AK152" s="7">
        <f t="shared" ref="AK152:AK154" si="365">AJ152</f>
        <v>1000</v>
      </c>
      <c r="AL152" s="7">
        <f t="shared" ref="AL152:AL154" si="366">AK152</f>
        <v>1000</v>
      </c>
      <c r="AM152" s="7">
        <f t="shared" ref="AM152:AM154" si="367">AL152</f>
        <v>1000</v>
      </c>
      <c r="AN152" s="7">
        <f t="shared" ref="AN152:AN154" si="368">AM152</f>
        <v>1000</v>
      </c>
      <c r="AO152" s="7">
        <f t="shared" ref="AO152:AO154" si="369">AN152</f>
        <v>1000</v>
      </c>
      <c r="AP152" s="19">
        <f>AO152</f>
        <v>1000</v>
      </c>
    </row>
    <row r="153" spans="2:42" x14ac:dyDescent="0.3">
      <c r="B153" t="s">
        <v>270</v>
      </c>
      <c r="C153" s="19">
        <v>19000</v>
      </c>
      <c r="D153" s="7">
        <f>C153</f>
        <v>19000</v>
      </c>
      <c r="E153" s="7">
        <f t="shared" ref="E153:S153" si="370">D153</f>
        <v>19000</v>
      </c>
      <c r="F153" s="7">
        <f t="shared" si="370"/>
        <v>19000</v>
      </c>
      <c r="G153" s="7">
        <f t="shared" si="370"/>
        <v>19000</v>
      </c>
      <c r="H153" s="7">
        <f t="shared" si="370"/>
        <v>19000</v>
      </c>
      <c r="I153" s="7">
        <f t="shared" si="370"/>
        <v>19000</v>
      </c>
      <c r="J153" s="7">
        <f t="shared" si="370"/>
        <v>19000</v>
      </c>
      <c r="K153" s="7">
        <f t="shared" si="370"/>
        <v>19000</v>
      </c>
      <c r="L153" s="7">
        <f t="shared" si="370"/>
        <v>19000</v>
      </c>
      <c r="M153" s="7">
        <f t="shared" si="370"/>
        <v>19000</v>
      </c>
      <c r="N153" s="7">
        <f t="shared" si="370"/>
        <v>19000</v>
      </c>
      <c r="O153" s="7">
        <f t="shared" si="370"/>
        <v>19000</v>
      </c>
      <c r="P153" s="19">
        <f t="shared" si="370"/>
        <v>19000</v>
      </c>
      <c r="Q153" s="7">
        <f>O153</f>
        <v>19000</v>
      </c>
      <c r="R153" s="7">
        <f>Q153</f>
        <v>19000</v>
      </c>
      <c r="S153" s="7">
        <f t="shared" si="370"/>
        <v>19000</v>
      </c>
      <c r="T153" s="7">
        <f t="shared" si="351"/>
        <v>19000</v>
      </c>
      <c r="U153" s="7">
        <f t="shared" si="352"/>
        <v>19000</v>
      </c>
      <c r="V153" s="7">
        <f t="shared" si="353"/>
        <v>19000</v>
      </c>
      <c r="W153" s="7">
        <f t="shared" si="354"/>
        <v>19000</v>
      </c>
      <c r="X153" s="7">
        <f t="shared" si="355"/>
        <v>19000</v>
      </c>
      <c r="Y153" s="7">
        <f t="shared" si="356"/>
        <v>19000</v>
      </c>
      <c r="Z153" s="7">
        <f t="shared" si="357"/>
        <v>19000</v>
      </c>
      <c r="AA153" s="7">
        <f t="shared" si="358"/>
        <v>19000</v>
      </c>
      <c r="AB153" s="7">
        <f t="shared" si="359"/>
        <v>19000</v>
      </c>
      <c r="AC153" s="19">
        <f t="shared" si="359"/>
        <v>19000</v>
      </c>
      <c r="AD153" s="7">
        <f>AB153</f>
        <v>19000</v>
      </c>
      <c r="AE153" s="7">
        <f>AD153</f>
        <v>19000</v>
      </c>
      <c r="AF153" s="7">
        <f t="shared" si="360"/>
        <v>19000</v>
      </c>
      <c r="AG153" s="7">
        <f t="shared" si="361"/>
        <v>19000</v>
      </c>
      <c r="AH153" s="7">
        <f t="shared" si="362"/>
        <v>19000</v>
      </c>
      <c r="AI153" s="7">
        <f t="shared" si="363"/>
        <v>19000</v>
      </c>
      <c r="AJ153" s="7">
        <f t="shared" si="364"/>
        <v>19000</v>
      </c>
      <c r="AK153" s="7">
        <f t="shared" si="365"/>
        <v>19000</v>
      </c>
      <c r="AL153" s="7">
        <f t="shared" si="366"/>
        <v>19000</v>
      </c>
      <c r="AM153" s="7">
        <f t="shared" si="367"/>
        <v>19000</v>
      </c>
      <c r="AN153" s="7">
        <f t="shared" si="368"/>
        <v>19000</v>
      </c>
      <c r="AO153" s="7">
        <f t="shared" si="369"/>
        <v>19000</v>
      </c>
      <c r="AP153" s="19">
        <f t="shared" ref="AP153:AP155" si="371">AO153</f>
        <v>19000</v>
      </c>
    </row>
    <row r="154" spans="2:42" x14ac:dyDescent="0.3">
      <c r="B154" t="s">
        <v>269</v>
      </c>
      <c r="C154" s="19"/>
      <c r="D154" s="7">
        <f>C155</f>
        <v>-11550</v>
      </c>
      <c r="E154" s="7">
        <f>D154</f>
        <v>-11550</v>
      </c>
      <c r="F154" s="7">
        <f t="shared" ref="F154:S154" si="372">E154</f>
        <v>-11550</v>
      </c>
      <c r="G154" s="7">
        <f t="shared" si="372"/>
        <v>-11550</v>
      </c>
      <c r="H154" s="7">
        <f t="shared" si="372"/>
        <v>-11550</v>
      </c>
      <c r="I154" s="7">
        <f t="shared" si="372"/>
        <v>-11550</v>
      </c>
      <c r="J154" s="7">
        <f t="shared" si="372"/>
        <v>-11550</v>
      </c>
      <c r="K154" s="7">
        <f t="shared" si="372"/>
        <v>-11550</v>
      </c>
      <c r="L154" s="7">
        <f t="shared" si="372"/>
        <v>-11550</v>
      </c>
      <c r="M154" s="7">
        <f t="shared" si="372"/>
        <v>-11550</v>
      </c>
      <c r="N154" s="7">
        <f t="shared" si="372"/>
        <v>-11550</v>
      </c>
      <c r="O154" s="7">
        <f t="shared" si="372"/>
        <v>-11550</v>
      </c>
      <c r="P154" s="19">
        <f t="shared" si="372"/>
        <v>-11550</v>
      </c>
      <c r="Q154" s="7">
        <f>O154+O155</f>
        <v>-14255.148600000008</v>
      </c>
      <c r="R154" s="7">
        <f>Q154</f>
        <v>-14255.148600000008</v>
      </c>
      <c r="S154" s="7">
        <f t="shared" si="372"/>
        <v>-14255.148600000008</v>
      </c>
      <c r="T154" s="7">
        <f t="shared" si="351"/>
        <v>-14255.148600000008</v>
      </c>
      <c r="U154" s="7">
        <f t="shared" si="352"/>
        <v>-14255.148600000008</v>
      </c>
      <c r="V154" s="7">
        <f t="shared" si="353"/>
        <v>-14255.148600000008</v>
      </c>
      <c r="W154" s="7">
        <f t="shared" si="354"/>
        <v>-14255.148600000008</v>
      </c>
      <c r="X154" s="7">
        <f t="shared" si="355"/>
        <v>-14255.148600000008</v>
      </c>
      <c r="Y154" s="7">
        <f t="shared" si="356"/>
        <v>-14255.148600000008</v>
      </c>
      <c r="Z154" s="7">
        <f t="shared" si="357"/>
        <v>-14255.148600000008</v>
      </c>
      <c r="AA154" s="7">
        <f t="shared" si="358"/>
        <v>-14255.148600000008</v>
      </c>
      <c r="AB154" s="7">
        <f t="shared" si="359"/>
        <v>-14255.148600000008</v>
      </c>
      <c r="AC154" s="19">
        <f t="shared" si="359"/>
        <v>-14255.148600000008</v>
      </c>
      <c r="AD154" s="7">
        <f>AB154+AB155</f>
        <v>183578.35880999995</v>
      </c>
      <c r="AE154" s="7">
        <f>AD154</f>
        <v>183578.35880999995</v>
      </c>
      <c r="AF154" s="7">
        <f t="shared" si="360"/>
        <v>183578.35880999995</v>
      </c>
      <c r="AG154" s="7">
        <f t="shared" si="361"/>
        <v>183578.35880999995</v>
      </c>
      <c r="AH154" s="7">
        <f t="shared" si="362"/>
        <v>183578.35880999995</v>
      </c>
      <c r="AI154" s="7">
        <f t="shared" si="363"/>
        <v>183578.35880999995</v>
      </c>
      <c r="AJ154" s="7">
        <f t="shared" si="364"/>
        <v>183578.35880999995</v>
      </c>
      <c r="AK154" s="7">
        <f t="shared" si="365"/>
        <v>183578.35880999995</v>
      </c>
      <c r="AL154" s="7">
        <f t="shared" si="366"/>
        <v>183578.35880999995</v>
      </c>
      <c r="AM154" s="7">
        <f t="shared" si="367"/>
        <v>183578.35880999995</v>
      </c>
      <c r="AN154" s="7">
        <f t="shared" si="368"/>
        <v>183578.35880999995</v>
      </c>
      <c r="AO154" s="7">
        <f t="shared" si="369"/>
        <v>183578.35880999995</v>
      </c>
      <c r="AP154" s="19">
        <f t="shared" si="371"/>
        <v>183578.35880999995</v>
      </c>
    </row>
    <row r="155" spans="2:42" x14ac:dyDescent="0.3">
      <c r="B155" t="s">
        <v>271</v>
      </c>
      <c r="C155" s="19">
        <f>C125</f>
        <v>-11550</v>
      </c>
      <c r="D155" s="7">
        <f>D125</f>
        <v>-690.27420000000052</v>
      </c>
      <c r="E155" s="7">
        <f>D155+E125</f>
        <v>-1406.2150666666676</v>
      </c>
      <c r="F155" s="7">
        <f t="shared" ref="F155:O155" si="373">E155+F125</f>
        <v>5552.1773999999969</v>
      </c>
      <c r="G155" s="7">
        <f t="shared" si="373"/>
        <v>5747.4031999999961</v>
      </c>
      <c r="H155" s="7">
        <f t="shared" si="373"/>
        <v>5916.9623333333293</v>
      </c>
      <c r="I155" s="7">
        <f t="shared" si="373"/>
        <v>15685.854799999994</v>
      </c>
      <c r="J155" s="7">
        <f t="shared" si="373"/>
        <v>-242.01870000000781</v>
      </c>
      <c r="K155" s="7">
        <f t="shared" si="373"/>
        <v>-16195.558866666675</v>
      </c>
      <c r="L155" s="7">
        <f t="shared" si="373"/>
        <v>-17077.206300000009</v>
      </c>
      <c r="M155" s="7">
        <f t="shared" si="373"/>
        <v>-20602.520400000009</v>
      </c>
      <c r="N155" s="7">
        <f t="shared" si="373"/>
        <v>-24153.501166666676</v>
      </c>
      <c r="O155" s="7">
        <f t="shared" si="373"/>
        <v>-2705.1486000000077</v>
      </c>
      <c r="P155" s="19">
        <f t="shared" ref="P155" si="374">O155</f>
        <v>-2705.1486000000077</v>
      </c>
      <c r="Q155" s="7">
        <f>Q125</f>
        <v>2582.6952176666618</v>
      </c>
      <c r="R155" s="7">
        <f>R125+Q155</f>
        <v>12775.55710199999</v>
      </c>
      <c r="S155" s="7">
        <f>R155+S125</f>
        <v>31865.127319666652</v>
      </c>
      <c r="T155" s="7">
        <f t="shared" ref="T155:AB155" si="375">S155+T125</f>
        <v>44395.095770666645</v>
      </c>
      <c r="U155" s="7">
        <f t="shared" si="375"/>
        <v>54460.522244333311</v>
      </c>
      <c r="V155" s="7">
        <f t="shared" si="375"/>
        <v>62413.967051333311</v>
      </c>
      <c r="W155" s="7">
        <f t="shared" si="375"/>
        <v>70341.745191666647</v>
      </c>
      <c r="X155" s="7">
        <f t="shared" si="375"/>
        <v>85943.856665333311</v>
      </c>
      <c r="Y155" s="7">
        <f t="shared" si="375"/>
        <v>106628.35313899998</v>
      </c>
      <c r="Z155" s="7">
        <f t="shared" si="375"/>
        <v>121655.73789599998</v>
      </c>
      <c r="AA155" s="7">
        <f t="shared" si="375"/>
        <v>136657.45598633331</v>
      </c>
      <c r="AB155" s="7">
        <f t="shared" si="375"/>
        <v>197833.50740999996</v>
      </c>
      <c r="AC155" s="19">
        <f t="shared" si="359"/>
        <v>197833.50740999996</v>
      </c>
      <c r="AD155" s="7">
        <f>AD125</f>
        <v>25947.759260500006</v>
      </c>
      <c r="AE155" s="7">
        <f>AE125+AD155</f>
        <v>59505.685187666677</v>
      </c>
      <c r="AF155" s="7">
        <f>AE155+AF125</f>
        <v>102233.18819816668</v>
      </c>
      <c r="AG155" s="7">
        <f t="shared" ref="AG155:AO155" si="376">AF155+AG125</f>
        <v>139325.32470266666</v>
      </c>
      <c r="AH155" s="7">
        <f t="shared" si="376"/>
        <v>183662.0382905</v>
      </c>
      <c r="AI155" s="7">
        <f t="shared" si="376"/>
        <v>229308.07271166667</v>
      </c>
      <c r="AJ155" s="7">
        <f t="shared" si="376"/>
        <v>274928.44046616665</v>
      </c>
      <c r="AK155" s="7">
        <f t="shared" si="376"/>
        <v>328223.14155399997</v>
      </c>
      <c r="AL155" s="7">
        <f t="shared" si="376"/>
        <v>388762.41972516663</v>
      </c>
      <c r="AM155" s="7">
        <f t="shared" si="376"/>
        <v>434935.98235266662</v>
      </c>
      <c r="AN155" s="7">
        <f t="shared" si="376"/>
        <v>481083.87831349997</v>
      </c>
      <c r="AO155" s="7">
        <f t="shared" si="376"/>
        <v>527206.10760766664</v>
      </c>
      <c r="AP155" s="19">
        <f t="shared" si="371"/>
        <v>527206.10760766664</v>
      </c>
    </row>
    <row r="156" spans="2:42" x14ac:dyDescent="0.3">
      <c r="B156" s="2" t="s">
        <v>272</v>
      </c>
      <c r="C156" s="19">
        <f>SUM(C152:C155)</f>
        <v>8450</v>
      </c>
      <c r="D156" s="12">
        <f>SUM(D152:D155)</f>
        <v>7759.7257999999993</v>
      </c>
      <c r="E156" s="12">
        <f t="shared" ref="E156:Q156" si="377">SUM(E152:E155)</f>
        <v>7043.7849333333324</v>
      </c>
      <c r="F156" s="12">
        <f t="shared" si="377"/>
        <v>14002.177399999997</v>
      </c>
      <c r="G156" s="12">
        <f t="shared" si="377"/>
        <v>14197.403199999997</v>
      </c>
      <c r="H156" s="12">
        <f t="shared" si="377"/>
        <v>14366.962333333329</v>
      </c>
      <c r="I156" s="12">
        <f t="shared" si="377"/>
        <v>24135.854799999994</v>
      </c>
      <c r="J156" s="12">
        <f t="shared" si="377"/>
        <v>8207.9812999999922</v>
      </c>
      <c r="K156" s="12">
        <f t="shared" si="377"/>
        <v>-7745.5588666666754</v>
      </c>
      <c r="L156" s="12">
        <f t="shared" si="377"/>
        <v>-8627.2063000000089</v>
      </c>
      <c r="M156" s="12">
        <f t="shared" si="377"/>
        <v>-12152.520400000009</v>
      </c>
      <c r="N156" s="12">
        <f t="shared" si="377"/>
        <v>-15703.501166666676</v>
      </c>
      <c r="O156" s="12">
        <f t="shared" si="377"/>
        <v>5744.8513999999923</v>
      </c>
      <c r="P156" s="19">
        <f t="shared" si="377"/>
        <v>5744.8513999999923</v>
      </c>
      <c r="Q156" s="12">
        <f t="shared" si="377"/>
        <v>8327.5466176666541</v>
      </c>
      <c r="R156" s="12">
        <f t="shared" ref="R156:S156" si="378">SUM(R152:R155)</f>
        <v>18520.408501999984</v>
      </c>
      <c r="S156" s="12">
        <f t="shared" si="378"/>
        <v>37609.978719666644</v>
      </c>
      <c r="T156" s="12">
        <f t="shared" ref="T156:AF156" si="379">SUM(T152:T155)</f>
        <v>50139.947170666637</v>
      </c>
      <c r="U156" s="12">
        <f t="shared" si="379"/>
        <v>60205.373644333304</v>
      </c>
      <c r="V156" s="12">
        <f t="shared" si="379"/>
        <v>68158.818451333296</v>
      </c>
      <c r="W156" s="12">
        <f t="shared" si="379"/>
        <v>76086.596591666632</v>
      </c>
      <c r="X156" s="12">
        <f t="shared" si="379"/>
        <v>91688.708065333311</v>
      </c>
      <c r="Y156" s="12">
        <f t="shared" si="379"/>
        <v>112373.20453899997</v>
      </c>
      <c r="Z156" s="12">
        <f t="shared" si="379"/>
        <v>127400.58929599996</v>
      </c>
      <c r="AA156" s="12">
        <f t="shared" si="379"/>
        <v>142402.3073863333</v>
      </c>
      <c r="AB156" s="12">
        <f t="shared" si="379"/>
        <v>203578.35880999995</v>
      </c>
      <c r="AC156" s="19">
        <f t="shared" si="379"/>
        <v>203578.35880999995</v>
      </c>
      <c r="AD156" s="12">
        <f t="shared" si="379"/>
        <v>229526.11807049994</v>
      </c>
      <c r="AE156" s="12">
        <f t="shared" si="379"/>
        <v>263084.04399766662</v>
      </c>
      <c r="AF156" s="12">
        <f t="shared" si="379"/>
        <v>305811.54700816661</v>
      </c>
      <c r="AG156" s="12">
        <f t="shared" ref="AG156:AP156" si="380">SUM(AG152:AG155)</f>
        <v>342903.68351266661</v>
      </c>
      <c r="AH156" s="12">
        <f t="shared" si="380"/>
        <v>387240.39710049995</v>
      </c>
      <c r="AI156" s="12">
        <f t="shared" si="380"/>
        <v>432886.43152166659</v>
      </c>
      <c r="AJ156" s="12">
        <f t="shared" si="380"/>
        <v>478506.7992761666</v>
      </c>
      <c r="AK156" s="12">
        <f t="shared" si="380"/>
        <v>531801.50036399998</v>
      </c>
      <c r="AL156" s="12">
        <f t="shared" si="380"/>
        <v>592340.77853516652</v>
      </c>
      <c r="AM156" s="12">
        <f t="shared" si="380"/>
        <v>638514.34116266656</v>
      </c>
      <c r="AN156" s="12">
        <f t="shared" si="380"/>
        <v>684662.23712349986</v>
      </c>
      <c r="AO156" s="12">
        <f t="shared" si="380"/>
        <v>730784.46641766652</v>
      </c>
      <c r="AP156" s="19">
        <f t="shared" si="380"/>
        <v>730784.46641766652</v>
      </c>
    </row>
    <row r="157" spans="2:42" x14ac:dyDescent="0.3">
      <c r="B157" s="2"/>
      <c r="C157" s="19"/>
      <c r="P157" s="19"/>
      <c r="AC157" s="19"/>
      <c r="AP157" s="19"/>
    </row>
    <row r="158" spans="2:42" x14ac:dyDescent="0.3">
      <c r="B158" t="s">
        <v>273</v>
      </c>
      <c r="C158" s="19"/>
      <c r="P158" s="19"/>
      <c r="AC158" s="19"/>
      <c r="AP158" s="19"/>
    </row>
    <row r="159" spans="2:42" x14ac:dyDescent="0.3">
      <c r="B159" t="s">
        <v>274</v>
      </c>
      <c r="C159" s="19"/>
      <c r="P159" s="19"/>
      <c r="AC159" s="19"/>
      <c r="AP159" s="19"/>
    </row>
    <row r="160" spans="2:42" x14ac:dyDescent="0.3">
      <c r="B160" s="2" t="s">
        <v>275</v>
      </c>
      <c r="C160" s="19">
        <f>SUM(C158:C159)</f>
        <v>0</v>
      </c>
      <c r="D160" s="2">
        <f t="shared" ref="D160:Q160" si="381">SUM(D158:D159)</f>
        <v>0</v>
      </c>
      <c r="E160" s="2">
        <f t="shared" si="381"/>
        <v>0</v>
      </c>
      <c r="F160" s="2">
        <f t="shared" si="381"/>
        <v>0</v>
      </c>
      <c r="G160" s="2">
        <f t="shared" si="381"/>
        <v>0</v>
      </c>
      <c r="H160" s="2">
        <f t="shared" si="381"/>
        <v>0</v>
      </c>
      <c r="I160" s="2">
        <f t="shared" si="381"/>
        <v>0</v>
      </c>
      <c r="J160" s="2">
        <f t="shared" si="381"/>
        <v>0</v>
      </c>
      <c r="K160" s="2">
        <f t="shared" si="381"/>
        <v>0</v>
      </c>
      <c r="L160" s="2">
        <f t="shared" si="381"/>
        <v>0</v>
      </c>
      <c r="M160" s="2">
        <f t="shared" si="381"/>
        <v>0</v>
      </c>
      <c r="N160" s="2">
        <f t="shared" si="381"/>
        <v>0</v>
      </c>
      <c r="O160" s="2">
        <f t="shared" si="381"/>
        <v>0</v>
      </c>
      <c r="P160" s="19">
        <f t="shared" si="381"/>
        <v>0</v>
      </c>
      <c r="Q160" s="2">
        <f t="shared" si="381"/>
        <v>0</v>
      </c>
      <c r="R160" s="2">
        <f t="shared" ref="R160:S160" si="382">SUM(R158:R159)</f>
        <v>0</v>
      </c>
      <c r="S160" s="2">
        <f t="shared" si="382"/>
        <v>0</v>
      </c>
      <c r="T160" s="2">
        <f t="shared" ref="T160:AF160" si="383">SUM(T158:T159)</f>
        <v>0</v>
      </c>
      <c r="U160" s="2">
        <f t="shared" si="383"/>
        <v>0</v>
      </c>
      <c r="V160" s="2">
        <f t="shared" si="383"/>
        <v>0</v>
      </c>
      <c r="W160" s="2">
        <f t="shared" si="383"/>
        <v>0</v>
      </c>
      <c r="X160" s="2">
        <f t="shared" si="383"/>
        <v>0</v>
      </c>
      <c r="Y160" s="2">
        <f t="shared" si="383"/>
        <v>0</v>
      </c>
      <c r="Z160" s="2">
        <f t="shared" si="383"/>
        <v>0</v>
      </c>
      <c r="AA160" s="2">
        <f t="shared" si="383"/>
        <v>0</v>
      </c>
      <c r="AB160" s="2">
        <f t="shared" si="383"/>
        <v>0</v>
      </c>
      <c r="AC160" s="19">
        <f t="shared" si="383"/>
        <v>0</v>
      </c>
      <c r="AD160" s="2">
        <f t="shared" si="383"/>
        <v>0</v>
      </c>
      <c r="AE160" s="2">
        <f t="shared" si="383"/>
        <v>0</v>
      </c>
      <c r="AF160" s="2">
        <f t="shared" si="383"/>
        <v>0</v>
      </c>
      <c r="AG160" s="2">
        <f t="shared" ref="AG160:AP160" si="384">SUM(AG158:AG159)</f>
        <v>0</v>
      </c>
      <c r="AH160" s="2">
        <f t="shared" si="384"/>
        <v>0</v>
      </c>
      <c r="AI160" s="2">
        <f t="shared" si="384"/>
        <v>0</v>
      </c>
      <c r="AJ160" s="2">
        <f t="shared" si="384"/>
        <v>0</v>
      </c>
      <c r="AK160" s="2">
        <f t="shared" si="384"/>
        <v>0</v>
      </c>
      <c r="AL160" s="2">
        <f t="shared" si="384"/>
        <v>0</v>
      </c>
      <c r="AM160" s="2">
        <f t="shared" si="384"/>
        <v>0</v>
      </c>
      <c r="AN160" s="2">
        <f t="shared" si="384"/>
        <v>0</v>
      </c>
      <c r="AO160" s="2">
        <f t="shared" si="384"/>
        <v>0</v>
      </c>
      <c r="AP160" s="19">
        <f t="shared" si="384"/>
        <v>0</v>
      </c>
    </row>
    <row r="161" spans="2:42" x14ac:dyDescent="0.3">
      <c r="B161" s="2"/>
      <c r="C161" s="19"/>
      <c r="P161" s="19"/>
      <c r="AC161" s="19"/>
      <c r="AP161" s="19"/>
    </row>
    <row r="162" spans="2:42" x14ac:dyDescent="0.3">
      <c r="B162" t="s">
        <v>276</v>
      </c>
      <c r="C162" s="19"/>
      <c r="D162" s="7">
        <f>(D103+D93+D94+D83+(D132-C132))*12/365*30</f>
        <v>12966.575342465752</v>
      </c>
      <c r="E162" s="7">
        <f t="shared" ref="E162:O162" si="385">(E103+E93+E94+E83+(E132-D132))*12/365*30</f>
        <v>8035.0684931506848</v>
      </c>
      <c r="F162" s="7">
        <f t="shared" si="385"/>
        <v>8035.0684931506848</v>
      </c>
      <c r="G162" s="7">
        <f t="shared" si="385"/>
        <v>8528.219178082194</v>
      </c>
      <c r="H162" s="7">
        <f t="shared" si="385"/>
        <v>8528.219178082194</v>
      </c>
      <c r="I162" s="7">
        <f t="shared" si="385"/>
        <v>8528.219178082194</v>
      </c>
      <c r="J162" s="7">
        <f t="shared" si="385"/>
        <v>13775.342465753425</v>
      </c>
      <c r="K162" s="7">
        <f t="shared" si="385"/>
        <v>13775.342465753425</v>
      </c>
      <c r="L162" s="7">
        <f t="shared" si="385"/>
        <v>13958.794520547945</v>
      </c>
      <c r="M162" s="7">
        <f t="shared" si="385"/>
        <v>15093.04109589041</v>
      </c>
      <c r="N162" s="7">
        <f t="shared" si="385"/>
        <v>15093.04109589041</v>
      </c>
      <c r="O162" s="7">
        <f t="shared" si="385"/>
        <v>15093.04109589041</v>
      </c>
      <c r="P162" s="19">
        <f>O162</f>
        <v>15093.04109589041</v>
      </c>
      <c r="Q162" s="7">
        <f>(Q103+Q93+Q94+Q83+(Q132-P132))*12/365*30</f>
        <v>26994.376438356161</v>
      </c>
      <c r="R162" s="7">
        <f t="shared" ref="R162:AB162" si="386">(R103+R93+R94+R83+(R132-Q132))*12/365*30</f>
        <v>26994.376438356161</v>
      </c>
      <c r="S162" s="7">
        <f t="shared" si="386"/>
        <v>22556.020273972597</v>
      </c>
      <c r="T162" s="7">
        <f t="shared" si="386"/>
        <v>25160.842191780819</v>
      </c>
      <c r="U162" s="7">
        <f t="shared" si="386"/>
        <v>26731.033972602738</v>
      </c>
      <c r="V162" s="7">
        <f t="shared" si="386"/>
        <v>31055.472328767122</v>
      </c>
      <c r="W162" s="7">
        <f t="shared" si="386"/>
        <v>31055.472328767122</v>
      </c>
      <c r="X162" s="7">
        <f t="shared" si="386"/>
        <v>31055.472328767122</v>
      </c>
      <c r="Y162" s="7">
        <f t="shared" si="386"/>
        <v>31807.033972602734</v>
      </c>
      <c r="Z162" s="7">
        <f t="shared" si="386"/>
        <v>33069.499726027389</v>
      </c>
      <c r="AA162" s="7">
        <f t="shared" si="386"/>
        <v>33069.499726027389</v>
      </c>
      <c r="AB162" s="7">
        <f t="shared" si="386"/>
        <v>33069.499726027389</v>
      </c>
      <c r="AC162" s="19">
        <f>AB162</f>
        <v>33069.499726027389</v>
      </c>
      <c r="AD162" s="7">
        <f>(AD103+AD93+AD94+AD83+(AD132-AC132))*12/365*30</f>
        <v>60894.41781369863</v>
      </c>
      <c r="AE162" s="7">
        <f t="shared" ref="AE162:AO162" si="387">(AE103+AE93+AE94+AE83+(AE132-AD132))*12/365*30</f>
        <v>55962.910964383562</v>
      </c>
      <c r="AF162" s="7">
        <f t="shared" si="387"/>
        <v>51524.554799999998</v>
      </c>
      <c r="AG162" s="7">
        <f t="shared" si="387"/>
        <v>54000.171238356168</v>
      </c>
      <c r="AH162" s="7">
        <f t="shared" si="387"/>
        <v>54493.321923287673</v>
      </c>
      <c r="AI162" s="7">
        <f t="shared" si="387"/>
        <v>55134.41781369863</v>
      </c>
      <c r="AJ162" s="7">
        <f t="shared" si="387"/>
        <v>55134.41781369863</v>
      </c>
      <c r="AK162" s="7">
        <f t="shared" si="387"/>
        <v>55134.41781369863</v>
      </c>
      <c r="AL162" s="7">
        <f t="shared" si="387"/>
        <v>55627.568498630135</v>
      </c>
      <c r="AM162" s="7">
        <f t="shared" si="387"/>
        <v>58170.253430136989</v>
      </c>
      <c r="AN162" s="7">
        <f t="shared" si="387"/>
        <v>58170.253430136989</v>
      </c>
      <c r="AO162" s="7">
        <f t="shared" si="387"/>
        <v>58170.253430136989</v>
      </c>
      <c r="AP162" s="19">
        <f>AO162</f>
        <v>58170.253430136989</v>
      </c>
    </row>
    <row r="163" spans="2:42" x14ac:dyDescent="0.3">
      <c r="B163" t="s">
        <v>278</v>
      </c>
      <c r="C163" s="19"/>
      <c r="P163" s="19"/>
      <c r="AC163" s="19"/>
      <c r="AP163" s="19"/>
    </row>
    <row r="164" spans="2:42" x14ac:dyDescent="0.3">
      <c r="B164" t="s">
        <v>279</v>
      </c>
      <c r="C164" s="19"/>
      <c r="P164" s="19"/>
      <c r="AC164" s="19"/>
      <c r="AP164" s="19"/>
    </row>
    <row r="165" spans="2:42" x14ac:dyDescent="0.3">
      <c r="B165" t="s">
        <v>280</v>
      </c>
      <c r="C165" s="19"/>
      <c r="D165" s="7">
        <f>D123</f>
        <v>-206.18580000000014</v>
      </c>
      <c r="E165" s="7">
        <f>D165+E123</f>
        <v>-420.03826666666697</v>
      </c>
      <c r="F165" s="7">
        <f t="shared" ref="F165:O165" si="388">E165+F123</f>
        <v>1658.4425999999994</v>
      </c>
      <c r="G165" s="7">
        <f t="shared" si="388"/>
        <v>1716.7567999999992</v>
      </c>
      <c r="H165" s="7">
        <f t="shared" si="388"/>
        <v>1767.4043333333325</v>
      </c>
      <c r="I165" s="7">
        <f t="shared" si="388"/>
        <v>4685.3851999999988</v>
      </c>
      <c r="J165" s="7">
        <f t="shared" si="388"/>
        <v>-72.291300000001684</v>
      </c>
      <c r="K165" s="7">
        <f t="shared" si="388"/>
        <v>-4837.6344666666691</v>
      </c>
      <c r="L165" s="7">
        <f t="shared" si="388"/>
        <v>-5100.9837000000025</v>
      </c>
      <c r="M165" s="7">
        <f t="shared" si="388"/>
        <v>-6153.9996000000028</v>
      </c>
      <c r="N165" s="7">
        <f t="shared" si="388"/>
        <v>-7214.6821666666692</v>
      </c>
      <c r="O165" s="7">
        <f t="shared" si="388"/>
        <v>-808.03140000000167</v>
      </c>
      <c r="P165" s="19">
        <f>O165</f>
        <v>-808.03140000000167</v>
      </c>
      <c r="Q165" s="7">
        <f>O165+Q123</f>
        <v>-36.576984333336441</v>
      </c>
      <c r="R165" s="7">
        <f>Q165+R123</f>
        <v>3008.0440979999958</v>
      </c>
      <c r="S165" s="7">
        <f t="shared" ref="S165" si="389">R165+S123</f>
        <v>8710.1235136666619</v>
      </c>
      <c r="T165" s="7">
        <f t="shared" ref="T165" si="390">S165+T123</f>
        <v>12452.841362666659</v>
      </c>
      <c r="U165" s="7">
        <f t="shared" ref="U165" si="391">T165+U123</f>
        <v>15459.397322333327</v>
      </c>
      <c r="V165" s="7">
        <f t="shared" ref="V165" si="392">U165+V123</f>
        <v>17835.101615333326</v>
      </c>
      <c r="W165" s="7">
        <f t="shared" ref="W165" si="393">V165+W123</f>
        <v>20203.13924166666</v>
      </c>
      <c r="X165" s="7">
        <f t="shared" ref="X165" si="394">W165+X123</f>
        <v>24863.510201333327</v>
      </c>
      <c r="Y165" s="7">
        <f t="shared" ref="Y165" si="395">X165+Y123</f>
        <v>31041.996160999995</v>
      </c>
      <c r="Z165" s="7">
        <f t="shared" ref="Z165" si="396">Y165+Z123</f>
        <v>35530.695503999996</v>
      </c>
      <c r="AA165" s="7">
        <f t="shared" ref="AA165" si="397">Z165+AA123</f>
        <v>40011.728180333332</v>
      </c>
      <c r="AB165" s="7">
        <f t="shared" ref="AB165" si="398">AA165+AB123</f>
        <v>58285.094189999996</v>
      </c>
      <c r="AC165" s="19">
        <f>AB165</f>
        <v>58285.094189999996</v>
      </c>
      <c r="AD165" s="7">
        <f>AB165+AD123</f>
        <v>66035.723579500002</v>
      </c>
      <c r="AE165" s="7">
        <f>AD165+AE123</f>
        <v>76059.519635666671</v>
      </c>
      <c r="AF165" s="7">
        <f t="shared" ref="AF165" si="399">AE165+AF123</f>
        <v>88822.280275166675</v>
      </c>
      <c r="AG165" s="7">
        <f t="shared" ref="AG165" si="400">AF165+AG123</f>
        <v>99901.749620666669</v>
      </c>
      <c r="AH165" s="7">
        <f t="shared" ref="AH165" si="401">AG165+AH123</f>
        <v>113145.18354950001</v>
      </c>
      <c r="AI165" s="7">
        <f t="shared" ref="AI165" si="402">AH165+AI123</f>
        <v>126779.71331166668</v>
      </c>
      <c r="AJ165" s="7">
        <f t="shared" ref="AJ165" si="403">AI165+AJ123</f>
        <v>140406.57640716669</v>
      </c>
      <c r="AK165" s="7">
        <f t="shared" ref="AK165" si="404">AJ165+AK123</f>
        <v>156325.77283600002</v>
      </c>
      <c r="AL165" s="7">
        <f t="shared" ref="AL165" si="405">AK165+AL123</f>
        <v>174408.93384816669</v>
      </c>
      <c r="AM165" s="7">
        <f t="shared" ref="AM165" si="406">AL165+AM123</f>
        <v>188201.0369706667</v>
      </c>
      <c r="AN165" s="7">
        <f t="shared" ref="AN165" si="407">AM165+AN123</f>
        <v>201985.47342650004</v>
      </c>
      <c r="AO165" s="7">
        <f t="shared" ref="AO165" si="408">AN165+AO123</f>
        <v>215762.24321566671</v>
      </c>
      <c r="AP165" s="19">
        <f>AO165</f>
        <v>215762.24321566671</v>
      </c>
    </row>
    <row r="166" spans="2:42" x14ac:dyDescent="0.3">
      <c r="B166" t="s">
        <v>281</v>
      </c>
      <c r="C166" s="19"/>
      <c r="P166" s="19"/>
      <c r="AC166" s="19"/>
      <c r="AP166" s="19"/>
    </row>
    <row r="167" spans="2:42" x14ac:dyDescent="0.3">
      <c r="B167" t="s">
        <v>282</v>
      </c>
      <c r="C167" s="19"/>
      <c r="P167" s="19"/>
      <c r="AC167" s="19"/>
      <c r="AP167" s="19"/>
    </row>
    <row r="168" spans="2:42" x14ac:dyDescent="0.3">
      <c r="B168" t="s">
        <v>314</v>
      </c>
      <c r="C168" s="19"/>
      <c r="D168" s="7">
        <f>-0.21*SUM(D99:D102,D93,D94,D95,D83)+(D132-C132)*-0.21+(D136-C136)*-0.21</f>
        <v>-4860.8</v>
      </c>
      <c r="E168" s="7">
        <f t="shared" ref="E168:O168" si="409">-0.21*SUM(E99:E102,E93,E94,E95,E83)+(E132-D132)*-0.21+(E136-D136)*-0.21</f>
        <v>-3810.8</v>
      </c>
      <c r="F168" s="7">
        <f t="shared" si="409"/>
        <v>-3810.8</v>
      </c>
      <c r="G168" s="7">
        <f t="shared" si="409"/>
        <v>-3915.8</v>
      </c>
      <c r="H168" s="7">
        <f t="shared" si="409"/>
        <v>-3915.8</v>
      </c>
      <c r="I168" s="7">
        <f t="shared" si="409"/>
        <v>-3915.8</v>
      </c>
      <c r="J168" s="7">
        <f t="shared" si="409"/>
        <v>-5033</v>
      </c>
      <c r="K168" s="7">
        <f t="shared" si="409"/>
        <v>-5033</v>
      </c>
      <c r="L168" s="7">
        <f t="shared" si="409"/>
        <v>-5072.0600000000004</v>
      </c>
      <c r="M168" s="7">
        <f t="shared" si="409"/>
        <v>-5313.56</v>
      </c>
      <c r="N168" s="7">
        <f t="shared" si="409"/>
        <v>-5313.56</v>
      </c>
      <c r="O168" s="7">
        <f t="shared" si="409"/>
        <v>-5313.56</v>
      </c>
      <c r="P168" s="19">
        <f>O168</f>
        <v>-5313.56</v>
      </c>
      <c r="Q168" s="7">
        <f>-0.21*SUM(Q99:Q102,Q93,Q94,Q95,Q83)+(Q132-P132)*-0.21+(Q136-P136)*-0.21</f>
        <v>-8897.5526499999996</v>
      </c>
      <c r="R168" s="7">
        <f t="shared" ref="R168:AB168" si="410">-0.21*SUM(R99:R102,R93,R94,R95,R83)+(R132-Q132)*-0.21+(R136-Q136)*-0.21</f>
        <v>-8897.5526499999996</v>
      </c>
      <c r="S168" s="7">
        <f t="shared" si="410"/>
        <v>-7952.5526499999996</v>
      </c>
      <c r="T168" s="7">
        <f t="shared" si="410"/>
        <v>-9137.1626500000002</v>
      </c>
      <c r="U168" s="7">
        <f t="shared" si="410"/>
        <v>-10311.48265</v>
      </c>
      <c r="V168" s="7">
        <f t="shared" si="410"/>
        <v>-11232.227649999999</v>
      </c>
      <c r="W168" s="7">
        <f t="shared" si="410"/>
        <v>-11232.227649999999</v>
      </c>
      <c r="X168" s="7">
        <f t="shared" si="410"/>
        <v>-11232.227649999999</v>
      </c>
      <c r="Y168" s="7">
        <f t="shared" si="410"/>
        <v>-11812.247649999999</v>
      </c>
      <c r="Z168" s="7">
        <f t="shared" si="410"/>
        <v>-12081.047649999999</v>
      </c>
      <c r="AA168" s="7">
        <f t="shared" si="410"/>
        <v>-12081.047649999999</v>
      </c>
      <c r="AB168" s="7">
        <f t="shared" si="410"/>
        <v>-12081.047649999999</v>
      </c>
      <c r="AC168" s="19">
        <f>AB168</f>
        <v>-12081.047649999999</v>
      </c>
      <c r="AD168" s="7">
        <f>-0.21*SUM(AD99:AD102,AD93,AD94,AD95,AD83)+(AD132-AC132)*-0.21+(AD136-AC136)*-0.21</f>
        <v>-20525.436459500001</v>
      </c>
      <c r="AE168" s="7">
        <f t="shared" ref="AE168:AO168" si="411">-0.21*SUM(AE99:AE102,AE93,AE94,AE95,AE83)+(AE132-AD132)*-0.21+(AE136-AD136)*-0.21</f>
        <v>-19475.436459500001</v>
      </c>
      <c r="AF168" s="7">
        <f t="shared" si="411"/>
        <v>-18530.436459500001</v>
      </c>
      <c r="AG168" s="7">
        <f t="shared" si="411"/>
        <v>-19477.536459499999</v>
      </c>
      <c r="AH168" s="7">
        <f t="shared" si="411"/>
        <v>-19582.536459499999</v>
      </c>
      <c r="AI168" s="7">
        <f t="shared" si="411"/>
        <v>-19719.036459499999</v>
      </c>
      <c r="AJ168" s="7">
        <f t="shared" si="411"/>
        <v>-19719.036459499999</v>
      </c>
      <c r="AK168" s="7">
        <f t="shared" si="411"/>
        <v>-19719.036459499999</v>
      </c>
      <c r="AL168" s="7">
        <f t="shared" si="411"/>
        <v>-19824.036459499999</v>
      </c>
      <c r="AM168" s="7">
        <f t="shared" si="411"/>
        <v>-21625.4164595</v>
      </c>
      <c r="AN168" s="7">
        <f t="shared" si="411"/>
        <v>-21625.4164595</v>
      </c>
      <c r="AO168" s="7">
        <f t="shared" si="411"/>
        <v>-21625.4164595</v>
      </c>
      <c r="AP168" s="19">
        <f>AO168</f>
        <v>-21625.4164595</v>
      </c>
    </row>
    <row r="169" spans="2:42" x14ac:dyDescent="0.3">
      <c r="B169" t="s">
        <v>315</v>
      </c>
      <c r="C169" s="19"/>
      <c r="D169" s="7">
        <f>0.21*SUM(D73:D78)</f>
        <v>4200</v>
      </c>
      <c r="E169" s="7">
        <f t="shared" ref="E169:O169" si="412">0.21*SUM(E73:E78)</f>
        <v>4200</v>
      </c>
      <c r="F169" s="7">
        <f t="shared" si="412"/>
        <v>6300</v>
      </c>
      <c r="G169" s="7">
        <f t="shared" si="412"/>
        <v>4567.5</v>
      </c>
      <c r="H169" s="7">
        <f t="shared" si="412"/>
        <v>4567.5</v>
      </c>
      <c r="I169" s="7">
        <f t="shared" si="412"/>
        <v>7192.5</v>
      </c>
      <c r="J169" s="7">
        <f t="shared" si="412"/>
        <v>6930</v>
      </c>
      <c r="K169" s="7">
        <f t="shared" si="412"/>
        <v>6930</v>
      </c>
      <c r="L169" s="7">
        <f t="shared" si="412"/>
        <v>11655</v>
      </c>
      <c r="M169" s="7">
        <f t="shared" si="412"/>
        <v>11182.5</v>
      </c>
      <c r="N169" s="7">
        <f t="shared" si="412"/>
        <v>11182.5</v>
      </c>
      <c r="O169" s="7">
        <f t="shared" si="412"/>
        <v>18007.5</v>
      </c>
      <c r="P169" s="19">
        <f>O169</f>
        <v>18007.5</v>
      </c>
      <c r="Q169" s="7">
        <f>0.21*SUM(Q73:Q78)</f>
        <v>18193.875</v>
      </c>
      <c r="R169" s="7">
        <f t="shared" ref="R169:AB169" si="413">0.21*SUM(R73:R78)</f>
        <v>20293.875</v>
      </c>
      <c r="S169" s="7">
        <f t="shared" si="413"/>
        <v>22832.25</v>
      </c>
      <c r="T169" s="7">
        <f t="shared" si="413"/>
        <v>25530.75</v>
      </c>
      <c r="U169" s="7">
        <f t="shared" si="413"/>
        <v>27544.125</v>
      </c>
      <c r="V169" s="7">
        <f t="shared" si="413"/>
        <v>27895.875</v>
      </c>
      <c r="W169" s="7">
        <f t="shared" si="413"/>
        <v>27895.875</v>
      </c>
      <c r="X169" s="7">
        <f t="shared" si="413"/>
        <v>29995.875</v>
      </c>
      <c r="Y169" s="7">
        <f t="shared" si="413"/>
        <v>32009.25</v>
      </c>
      <c r="Z169" s="7">
        <f t="shared" si="413"/>
        <v>32361</v>
      </c>
      <c r="AA169" s="7">
        <f t="shared" si="413"/>
        <v>32361</v>
      </c>
      <c r="AB169" s="7">
        <f t="shared" si="413"/>
        <v>44961</v>
      </c>
      <c r="AC169" s="19">
        <f>AB169</f>
        <v>44961</v>
      </c>
      <c r="AD169" s="7">
        <f>0.21*SUM(AD73:AD78)</f>
        <v>48289.237499999996</v>
      </c>
      <c r="AE169" s="7">
        <f t="shared" ref="AE169:AO169" si="414">0.21*SUM(AE73:AE78)</f>
        <v>50389.237499999996</v>
      </c>
      <c r="AF169" s="7">
        <f t="shared" si="414"/>
        <v>53002.03125</v>
      </c>
      <c r="AG169" s="7">
        <f t="shared" si="414"/>
        <v>55887.956249999996</v>
      </c>
      <c r="AH169" s="7">
        <f t="shared" si="414"/>
        <v>57975.75</v>
      </c>
      <c r="AI169" s="7">
        <f t="shared" si="414"/>
        <v>58476.337500000001</v>
      </c>
      <c r="AJ169" s="7">
        <f t="shared" si="414"/>
        <v>58476.337500000001</v>
      </c>
      <c r="AK169" s="7">
        <f t="shared" si="414"/>
        <v>60576.337499999994</v>
      </c>
      <c r="AL169" s="7">
        <f t="shared" si="414"/>
        <v>62664.131249999999</v>
      </c>
      <c r="AM169" s="7">
        <f t="shared" si="414"/>
        <v>63164.71875</v>
      </c>
      <c r="AN169" s="7">
        <f t="shared" si="414"/>
        <v>63164.71875</v>
      </c>
      <c r="AO169" s="7">
        <f t="shared" si="414"/>
        <v>63164.71875</v>
      </c>
      <c r="AP169" s="19">
        <f>AO169</f>
        <v>63164.71875</v>
      </c>
    </row>
    <row r="170" spans="2:42" x14ac:dyDescent="0.3">
      <c r="B170" t="s">
        <v>316</v>
      </c>
      <c r="C170" s="19"/>
      <c r="F170" s="7">
        <f>(F168+F169)*-1</f>
        <v>-2489.1999999999998</v>
      </c>
      <c r="I170" s="7">
        <f>(I168+I169)*-1</f>
        <v>-3276.7</v>
      </c>
      <c r="L170" s="7">
        <f>(L168+L169)*-1</f>
        <v>-6582.94</v>
      </c>
      <c r="O170" s="7">
        <f>(O168+O169)*-1</f>
        <v>-12693.939999999999</v>
      </c>
      <c r="P170" s="19">
        <f>O170</f>
        <v>-12693.939999999999</v>
      </c>
      <c r="S170" s="7">
        <f>(S168+S169)*-1</f>
        <v>-14879.69735</v>
      </c>
      <c r="V170" s="7">
        <f>(V168+V169)*-1</f>
        <v>-16663.647349999999</v>
      </c>
      <c r="Y170" s="7">
        <f>(Y168+Y169)*-1</f>
        <v>-20197.002350000002</v>
      </c>
      <c r="AB170" s="7">
        <f>(AB168+AB169)*-1</f>
        <v>-32879.95235</v>
      </c>
      <c r="AC170" s="19">
        <f>AB170</f>
        <v>-32879.95235</v>
      </c>
      <c r="AF170" s="7">
        <f>(AF168+AF169)*-1</f>
        <v>-34471.594790499999</v>
      </c>
      <c r="AI170" s="7">
        <f>(AI168+AI169)*-1</f>
        <v>-38757.301040500002</v>
      </c>
      <c r="AL170" s="7">
        <f>(AL168+AL169)*-1</f>
        <v>-42840.094790499999</v>
      </c>
      <c r="AO170" s="7">
        <f>(AO168+AO169)*-1</f>
        <v>-41539.302290499996</v>
      </c>
      <c r="AP170" s="19">
        <f>AO170</f>
        <v>-41539.302290499996</v>
      </c>
    </row>
    <row r="171" spans="2:42" x14ac:dyDescent="0.3">
      <c r="B171" t="s">
        <v>317</v>
      </c>
      <c r="C171" s="19"/>
      <c r="D171" s="7">
        <f>D87</f>
        <v>208</v>
      </c>
      <c r="E171" s="7">
        <f>D171+E89</f>
        <v>416</v>
      </c>
      <c r="F171" s="7">
        <f t="shared" ref="F171:O171" si="415">E171+F89</f>
        <v>624</v>
      </c>
      <c r="G171" s="7">
        <f t="shared" si="415"/>
        <v>832</v>
      </c>
      <c r="H171" s="7">
        <v>0</v>
      </c>
      <c r="I171" s="7">
        <f t="shared" si="415"/>
        <v>208</v>
      </c>
      <c r="J171" s="7">
        <f t="shared" si="415"/>
        <v>1848</v>
      </c>
      <c r="K171" s="7">
        <f t="shared" si="415"/>
        <v>3488</v>
      </c>
      <c r="L171" s="7">
        <f t="shared" si="415"/>
        <v>5272</v>
      </c>
      <c r="M171" s="7">
        <f t="shared" si="415"/>
        <v>7056</v>
      </c>
      <c r="N171" s="7">
        <f t="shared" si="415"/>
        <v>8840</v>
      </c>
      <c r="O171" s="7">
        <f t="shared" si="415"/>
        <v>10624</v>
      </c>
      <c r="P171" s="19">
        <f>O171</f>
        <v>10624</v>
      </c>
      <c r="Q171" s="7">
        <f>Q87+O171</f>
        <v>13087.76</v>
      </c>
      <c r="R171" s="7">
        <f>Q171+R89</f>
        <v>15551.52</v>
      </c>
      <c r="S171" s="7">
        <f t="shared" ref="S171:AB171" si="416">R171+S89</f>
        <v>18015.28</v>
      </c>
      <c r="T171" s="7">
        <f t="shared" si="416"/>
        <v>21303.040000000001</v>
      </c>
      <c r="U171" s="7">
        <v>0</v>
      </c>
      <c r="V171" s="7">
        <f t="shared" si="416"/>
        <v>3650.32</v>
      </c>
      <c r="W171" s="7">
        <f t="shared" si="416"/>
        <v>7300.64</v>
      </c>
      <c r="X171" s="7">
        <f t="shared" si="416"/>
        <v>10950.960000000001</v>
      </c>
      <c r="Y171" s="7">
        <f t="shared" si="416"/>
        <v>14601.28</v>
      </c>
      <c r="Z171" s="7">
        <f t="shared" si="416"/>
        <v>18663.600000000002</v>
      </c>
      <c r="AA171" s="7">
        <f t="shared" si="416"/>
        <v>22725.920000000002</v>
      </c>
      <c r="AB171" s="7">
        <f t="shared" si="416"/>
        <v>26788.240000000002</v>
      </c>
      <c r="AC171" s="19">
        <f>AB171</f>
        <v>26788.240000000002</v>
      </c>
      <c r="AD171" s="7">
        <f>AD87+AB171</f>
        <v>32457.360000000001</v>
      </c>
      <c r="AE171" s="7">
        <f>AD171+AE89</f>
        <v>38126.480000000003</v>
      </c>
      <c r="AF171" s="7">
        <f t="shared" ref="AF171:AO171" si="417">AE171+AF89</f>
        <v>43795.600000000006</v>
      </c>
      <c r="AG171" s="7">
        <f t="shared" si="417"/>
        <v>50338.16</v>
      </c>
      <c r="AH171" s="7">
        <v>0</v>
      </c>
      <c r="AI171" s="7">
        <f t="shared" si="417"/>
        <v>6542.56</v>
      </c>
      <c r="AJ171" s="7">
        <f t="shared" si="417"/>
        <v>13085.12</v>
      </c>
      <c r="AK171" s="7">
        <f t="shared" si="417"/>
        <v>19627.68</v>
      </c>
      <c r="AL171" s="7">
        <f t="shared" si="417"/>
        <v>26170.240000000002</v>
      </c>
      <c r="AM171" s="7">
        <f t="shared" si="417"/>
        <v>33347.279999999999</v>
      </c>
      <c r="AN171" s="7">
        <f t="shared" si="417"/>
        <v>40524.32</v>
      </c>
      <c r="AO171" s="7">
        <f t="shared" si="417"/>
        <v>47701.36</v>
      </c>
      <c r="AP171" s="19">
        <f>AO171</f>
        <v>47701.36</v>
      </c>
    </row>
    <row r="172" spans="2:42" x14ac:dyDescent="0.3">
      <c r="B172" t="s">
        <v>318</v>
      </c>
      <c r="C172" s="19"/>
      <c r="P172" s="19"/>
      <c r="AC172" s="19"/>
      <c r="AP172" s="19"/>
    </row>
    <row r="173" spans="2:42" x14ac:dyDescent="0.3">
      <c r="B173" s="2" t="s">
        <v>283</v>
      </c>
      <c r="C173" s="19">
        <f>SUM(C162:C167)</f>
        <v>0</v>
      </c>
      <c r="D173" s="13">
        <f>SUM(D162:D172)</f>
        <v>12307.589542465754</v>
      </c>
      <c r="E173" s="13">
        <f t="shared" ref="E173:O173" si="418">SUM(E162:E172)</f>
        <v>8420.2302264840182</v>
      </c>
      <c r="F173" s="13">
        <f t="shared" si="418"/>
        <v>10317.511093150682</v>
      </c>
      <c r="G173" s="13">
        <f t="shared" si="418"/>
        <v>11728.675978082192</v>
      </c>
      <c r="H173" s="13">
        <f t="shared" si="418"/>
        <v>10947.323511415525</v>
      </c>
      <c r="I173" s="13">
        <f t="shared" si="418"/>
        <v>13421.604378082193</v>
      </c>
      <c r="J173" s="13">
        <f t="shared" si="418"/>
        <v>17448.051165753423</v>
      </c>
      <c r="K173" s="13">
        <f t="shared" si="418"/>
        <v>14322.707999086757</v>
      </c>
      <c r="L173" s="13">
        <f t="shared" si="418"/>
        <v>14129.810820547944</v>
      </c>
      <c r="M173" s="13">
        <f t="shared" si="418"/>
        <v>21863.981495890406</v>
      </c>
      <c r="N173" s="13">
        <f t="shared" si="418"/>
        <v>22587.29892922374</v>
      </c>
      <c r="O173" s="13">
        <f t="shared" si="418"/>
        <v>24909.009695890411</v>
      </c>
      <c r="P173" s="19">
        <f>SUM(P162:P172)</f>
        <v>24909.009695890411</v>
      </c>
      <c r="Q173" s="13">
        <f>SUM(Q162:Q172)</f>
        <v>49341.881804022829</v>
      </c>
      <c r="R173" s="13">
        <f t="shared" ref="R173" si="419">SUM(R162:R172)</f>
        <v>56950.262886356155</v>
      </c>
      <c r="S173" s="13">
        <f t="shared" ref="S173" si="420">SUM(S162:S172)</f>
        <v>49281.423787639258</v>
      </c>
      <c r="T173" s="13">
        <f t="shared" ref="T173" si="421">SUM(T162:T172)</f>
        <v>75310.310904447484</v>
      </c>
      <c r="U173" s="13">
        <f t="shared" ref="U173" si="422">SUM(U162:U172)</f>
        <v>59423.073644936063</v>
      </c>
      <c r="V173" s="13">
        <f t="shared" ref="V173" si="423">SUM(V162:V172)</f>
        <v>52540.893944100455</v>
      </c>
      <c r="W173" s="13">
        <f t="shared" ref="W173" si="424">SUM(W162:W172)</f>
        <v>75222.898920433785</v>
      </c>
      <c r="X173" s="13">
        <f t="shared" ref="X173" si="425">SUM(X162:X172)</f>
        <v>85633.589880100451</v>
      </c>
      <c r="Y173" s="13">
        <f t="shared" ref="Y173" si="426">SUM(Y162:Y172)</f>
        <v>77450.310133602732</v>
      </c>
      <c r="Z173" s="13">
        <f t="shared" ref="Z173" si="427">SUM(Z162:Z172)</f>
        <v>107543.74758002738</v>
      </c>
      <c r="AA173" s="13">
        <f t="shared" ref="AA173" si="428">SUM(AA162:AA172)</f>
        <v>116087.10025636073</v>
      </c>
      <c r="AB173" s="13">
        <f t="shared" ref="AB173" si="429">SUM(AB162:AB172)</f>
        <v>118142.8339160274</v>
      </c>
      <c r="AC173" s="19">
        <f>SUM(AC162:AC172)</f>
        <v>118142.8339160274</v>
      </c>
      <c r="AD173" s="13">
        <f>SUM(AD162:AD172)</f>
        <v>187151.30243369861</v>
      </c>
      <c r="AE173" s="13">
        <f t="shared" ref="AE173" si="430">SUM(AE162:AE172)</f>
        <v>201062.71164055023</v>
      </c>
      <c r="AF173" s="13">
        <f t="shared" ref="AF173" si="431">SUM(AF162:AF172)</f>
        <v>184142.43507516666</v>
      </c>
      <c r="AG173" s="13">
        <f t="shared" ref="AG173" si="432">SUM(AG162:AG172)</f>
        <v>240650.50064952282</v>
      </c>
      <c r="AH173" s="13">
        <f t="shared" ref="AH173" si="433">SUM(AH162:AH172)</f>
        <v>206031.71901328769</v>
      </c>
      <c r="AI173" s="13">
        <f t="shared" ref="AI173" si="434">SUM(AI162:AI172)</f>
        <v>188456.69112536532</v>
      </c>
      <c r="AJ173" s="13">
        <f t="shared" ref="AJ173" si="435">SUM(AJ162:AJ172)</f>
        <v>247383.4152613653</v>
      </c>
      <c r="AK173" s="13">
        <f t="shared" ref="AK173" si="436">SUM(AK162:AK172)</f>
        <v>271945.17169019865</v>
      </c>
      <c r="AL173" s="13">
        <f t="shared" ref="AL173" si="437">SUM(AL162:AL172)</f>
        <v>256206.74234679679</v>
      </c>
      <c r="AM173" s="13">
        <f t="shared" ref="AM173" si="438">SUM(AM162:AM172)</f>
        <v>321257.87269130372</v>
      </c>
      <c r="AN173" s="13">
        <f t="shared" ref="AN173" si="439">SUM(AN162:AN172)</f>
        <v>342219.34914713708</v>
      </c>
      <c r="AO173" s="13">
        <f t="shared" ref="AO173" si="440">SUM(AO162:AO172)</f>
        <v>321633.85664580367</v>
      </c>
      <c r="AP173" s="19">
        <f>SUM(AP162:AP172)</f>
        <v>321633.85664580367</v>
      </c>
    </row>
    <row r="174" spans="2:42" x14ac:dyDescent="0.3">
      <c r="C174" s="19"/>
      <c r="P174" s="19"/>
      <c r="AC174" s="19"/>
      <c r="AP174" s="19"/>
    </row>
    <row r="175" spans="2:42" x14ac:dyDescent="0.3">
      <c r="B175" s="2" t="s">
        <v>284</v>
      </c>
      <c r="C175" s="19">
        <f>C156+C160+C173</f>
        <v>8450</v>
      </c>
      <c r="D175" s="12">
        <f>D156+D160+D173</f>
        <v>20067.315342465754</v>
      </c>
      <c r="E175" s="12">
        <f t="shared" ref="E175:Q175" si="441">E156+E160+E173</f>
        <v>15464.015159817351</v>
      </c>
      <c r="F175" s="12">
        <f t="shared" si="441"/>
        <v>24319.688493150679</v>
      </c>
      <c r="G175" s="12">
        <f t="shared" si="441"/>
        <v>25926.079178082189</v>
      </c>
      <c r="H175" s="12">
        <f t="shared" si="441"/>
        <v>25314.285844748854</v>
      </c>
      <c r="I175" s="12">
        <f t="shared" si="441"/>
        <v>37557.459178082187</v>
      </c>
      <c r="J175" s="12">
        <f t="shared" si="441"/>
        <v>25656.032465753415</v>
      </c>
      <c r="K175" s="12">
        <f t="shared" si="441"/>
        <v>6577.1491324200815</v>
      </c>
      <c r="L175" s="12">
        <f t="shared" si="441"/>
        <v>5502.604520547935</v>
      </c>
      <c r="M175" s="12">
        <f t="shared" si="441"/>
        <v>9711.4610958903977</v>
      </c>
      <c r="N175" s="12">
        <f t="shared" si="441"/>
        <v>6883.7977625570638</v>
      </c>
      <c r="O175" s="12">
        <f t="shared" si="441"/>
        <v>30653.861095890403</v>
      </c>
      <c r="P175" s="19">
        <f t="shared" si="441"/>
        <v>30653.861095890403</v>
      </c>
      <c r="Q175" s="12">
        <f t="shared" si="441"/>
        <v>57669.428421689481</v>
      </c>
      <c r="R175" s="12">
        <f t="shared" ref="R175:S175" si="442">R156+R160+R173</f>
        <v>75470.671388356132</v>
      </c>
      <c r="S175" s="12">
        <f t="shared" si="442"/>
        <v>86891.402507305902</v>
      </c>
      <c r="T175" s="12">
        <f t="shared" ref="T175:AF175" si="443">T156+T160+T173</f>
        <v>125450.25807511412</v>
      </c>
      <c r="U175" s="12">
        <f t="shared" si="443"/>
        <v>119628.44728926936</v>
      </c>
      <c r="V175" s="12">
        <f t="shared" si="443"/>
        <v>120699.71239543374</v>
      </c>
      <c r="W175" s="12">
        <f t="shared" si="443"/>
        <v>151309.4955121004</v>
      </c>
      <c r="X175" s="12">
        <f t="shared" si="443"/>
        <v>177322.29794543376</v>
      </c>
      <c r="Y175" s="12">
        <f t="shared" si="443"/>
        <v>189823.5146726027</v>
      </c>
      <c r="Z175" s="12">
        <f t="shared" si="443"/>
        <v>234944.33687602734</v>
      </c>
      <c r="AA175" s="12">
        <f t="shared" si="443"/>
        <v>258489.40764269402</v>
      </c>
      <c r="AB175" s="12">
        <f t="shared" si="443"/>
        <v>321721.19272602734</v>
      </c>
      <c r="AC175" s="19">
        <f t="shared" si="443"/>
        <v>321721.19272602734</v>
      </c>
      <c r="AD175" s="12">
        <f t="shared" si="443"/>
        <v>416677.42050419853</v>
      </c>
      <c r="AE175" s="12">
        <f t="shared" si="443"/>
        <v>464146.75563821686</v>
      </c>
      <c r="AF175" s="12">
        <f t="shared" si="443"/>
        <v>489953.98208333331</v>
      </c>
      <c r="AG175" s="12">
        <f t="shared" ref="AG175:AP175" si="444">AG156+AG160+AG173</f>
        <v>583554.18416218949</v>
      </c>
      <c r="AH175" s="12">
        <f t="shared" si="444"/>
        <v>593272.11611378763</v>
      </c>
      <c r="AI175" s="12">
        <f t="shared" si="444"/>
        <v>621343.12264703191</v>
      </c>
      <c r="AJ175" s="12">
        <f t="shared" si="444"/>
        <v>725890.21453753184</v>
      </c>
      <c r="AK175" s="12">
        <f t="shared" si="444"/>
        <v>803746.67205419857</v>
      </c>
      <c r="AL175" s="12">
        <f t="shared" si="444"/>
        <v>848547.52088196331</v>
      </c>
      <c r="AM175" s="12">
        <f t="shared" si="444"/>
        <v>959772.21385397029</v>
      </c>
      <c r="AN175" s="12">
        <f t="shared" si="444"/>
        <v>1026881.5862706369</v>
      </c>
      <c r="AO175" s="12">
        <f t="shared" si="444"/>
        <v>1052418.3230634702</v>
      </c>
      <c r="AP175" s="19">
        <f t="shared" si="444"/>
        <v>1052418.3230634702</v>
      </c>
    </row>
    <row r="176" spans="2:42" x14ac:dyDescent="0.3">
      <c r="B176" s="2"/>
      <c r="C176" s="19"/>
      <c r="P176" s="19"/>
      <c r="AC176" s="19"/>
      <c r="AP176" s="19"/>
    </row>
    <row r="177" spans="2:42" x14ac:dyDescent="0.3">
      <c r="B177" s="23" t="s">
        <v>288</v>
      </c>
      <c r="C177" s="19">
        <f>C150-C175</f>
        <v>0</v>
      </c>
      <c r="D177" s="7">
        <f>D150-D175</f>
        <v>0</v>
      </c>
      <c r="E177" s="7">
        <f t="shared" ref="E177:O177" si="445">E150-E175</f>
        <v>0</v>
      </c>
      <c r="F177" s="7">
        <f t="shared" si="445"/>
        <v>0</v>
      </c>
      <c r="G177" s="7">
        <f t="shared" si="445"/>
        <v>0</v>
      </c>
      <c r="H177" s="7">
        <f t="shared" si="445"/>
        <v>0</v>
      </c>
      <c r="I177" s="7">
        <f t="shared" si="445"/>
        <v>0</v>
      </c>
      <c r="J177" s="7">
        <f t="shared" si="445"/>
        <v>0</v>
      </c>
      <c r="K177" s="7">
        <f t="shared" si="445"/>
        <v>0</v>
      </c>
      <c r="L177" s="7">
        <f t="shared" si="445"/>
        <v>0</v>
      </c>
      <c r="M177" s="7">
        <f t="shared" si="445"/>
        <v>0</v>
      </c>
      <c r="N177" s="7">
        <f t="shared" si="445"/>
        <v>0</v>
      </c>
      <c r="O177" s="7">
        <f t="shared" si="445"/>
        <v>0</v>
      </c>
      <c r="P177" s="19">
        <f>P150-P175</f>
        <v>0</v>
      </c>
      <c r="Q177" s="7">
        <f>Q150-Q175</f>
        <v>0</v>
      </c>
      <c r="R177" s="7">
        <f>R150-R175</f>
        <v>0</v>
      </c>
      <c r="S177" s="7">
        <f t="shared" ref="S177:AB177" si="446">S150-S175</f>
        <v>0</v>
      </c>
      <c r="T177" s="7">
        <f t="shared" si="446"/>
        <v>0</v>
      </c>
      <c r="U177" s="7">
        <f t="shared" si="446"/>
        <v>0</v>
      </c>
      <c r="V177" s="7">
        <f t="shared" si="446"/>
        <v>0</v>
      </c>
      <c r="W177" s="7">
        <f t="shared" si="446"/>
        <v>0</v>
      </c>
      <c r="X177" s="7">
        <f t="shared" si="446"/>
        <v>0</v>
      </c>
      <c r="Y177" s="7">
        <f t="shared" si="446"/>
        <v>0</v>
      </c>
      <c r="Z177" s="7">
        <f t="shared" si="446"/>
        <v>0</v>
      </c>
      <c r="AA177" s="7">
        <f t="shared" si="446"/>
        <v>0</v>
      </c>
      <c r="AB177" s="7">
        <f t="shared" si="446"/>
        <v>0</v>
      </c>
      <c r="AC177" s="19">
        <f>AC150-AC175</f>
        <v>0</v>
      </c>
      <c r="AD177" s="7">
        <f>AD150-AD175</f>
        <v>0</v>
      </c>
      <c r="AE177" s="7">
        <f>AE150-AE175</f>
        <v>0</v>
      </c>
      <c r="AF177" s="7">
        <f t="shared" ref="AF177:AO177" si="447">AF150-AF175</f>
        <v>0</v>
      </c>
      <c r="AG177" s="7">
        <f t="shared" si="447"/>
        <v>0</v>
      </c>
      <c r="AH177" s="7">
        <f t="shared" si="447"/>
        <v>0</v>
      </c>
      <c r="AI177" s="7">
        <f t="shared" si="447"/>
        <v>0</v>
      </c>
      <c r="AJ177" s="7">
        <f t="shared" si="447"/>
        <v>0</v>
      </c>
      <c r="AK177" s="7">
        <f t="shared" si="447"/>
        <v>0</v>
      </c>
      <c r="AL177" s="7">
        <f t="shared" si="447"/>
        <v>0</v>
      </c>
      <c r="AM177" s="7">
        <f t="shared" si="447"/>
        <v>0</v>
      </c>
      <c r="AN177" s="7">
        <f t="shared" si="447"/>
        <v>0</v>
      </c>
      <c r="AO177" s="7">
        <f t="shared" si="447"/>
        <v>0</v>
      </c>
      <c r="AP177" s="19">
        <f>AP150-AP175</f>
        <v>0</v>
      </c>
    </row>
    <row r="178" spans="2:42" x14ac:dyDescent="0.3">
      <c r="B178" s="2"/>
      <c r="C178" s="17"/>
      <c r="O178" s="7"/>
      <c r="P178" s="17"/>
      <c r="Q178" s="7"/>
      <c r="R178" s="7"/>
      <c r="S178" s="7"/>
      <c r="T178" s="7"/>
      <c r="U178" s="7"/>
      <c r="V178" s="7"/>
      <c r="W178" s="7"/>
      <c r="X178" s="7"/>
      <c r="Y178" s="7"/>
      <c r="Z178" s="7"/>
      <c r="AA178" s="7"/>
      <c r="AB178" s="7"/>
      <c r="AC178" s="17"/>
      <c r="AD178" s="7"/>
      <c r="AE178" s="7"/>
      <c r="AF178" s="7"/>
      <c r="AG178" s="7"/>
      <c r="AH178" s="7"/>
      <c r="AI178" s="7"/>
      <c r="AJ178" s="7"/>
      <c r="AK178" s="7"/>
      <c r="AL178" s="7"/>
      <c r="AM178" s="7"/>
      <c r="AN178" s="7"/>
      <c r="AO178" s="7"/>
      <c r="AP178" s="17"/>
    </row>
    <row r="179" spans="2:42" x14ac:dyDescent="0.3">
      <c r="B179" s="22" t="s">
        <v>286</v>
      </c>
      <c r="C179" s="17"/>
      <c r="P179" s="17"/>
      <c r="AC179" s="17"/>
      <c r="AP179" s="17"/>
    </row>
    <row r="180" spans="2:42" x14ac:dyDescent="0.3">
      <c r="C180" s="17"/>
      <c r="P180" s="17"/>
      <c r="AC180" s="17"/>
      <c r="AP180" s="17"/>
    </row>
    <row r="181" spans="2:42" x14ac:dyDescent="0.3">
      <c r="B181" s="2"/>
      <c r="C181" s="17"/>
      <c r="P181" s="17"/>
      <c r="AC181" s="17"/>
      <c r="AP181" s="17"/>
    </row>
    <row r="182" spans="2:42" x14ac:dyDescent="0.3">
      <c r="B182" s="2"/>
      <c r="C182" s="17"/>
      <c r="P182" s="17"/>
      <c r="AC182" s="17"/>
      <c r="AP182" s="17"/>
    </row>
    <row r="183" spans="2:42" x14ac:dyDescent="0.3">
      <c r="B183" t="s">
        <v>285</v>
      </c>
      <c r="C183" s="19">
        <f>C125</f>
        <v>-11550</v>
      </c>
      <c r="D183" s="7">
        <f t="shared" ref="D183:N183" si="448">D125</f>
        <v>-690.27420000000052</v>
      </c>
      <c r="E183" s="7">
        <f t="shared" si="448"/>
        <v>-715.94086666666715</v>
      </c>
      <c r="F183" s="7">
        <f t="shared" si="448"/>
        <v>6958.3924666666644</v>
      </c>
      <c r="G183" s="7">
        <f t="shared" si="448"/>
        <v>195.22579999999948</v>
      </c>
      <c r="H183" s="7">
        <f t="shared" si="448"/>
        <v>169.55913333333285</v>
      </c>
      <c r="I183" s="7">
        <f t="shared" si="448"/>
        <v>9768.8924666666644</v>
      </c>
      <c r="J183" s="7">
        <f t="shared" si="448"/>
        <v>-15927.873500000002</v>
      </c>
      <c r="K183" s="7">
        <f t="shared" si="448"/>
        <v>-15953.540166666668</v>
      </c>
      <c r="L183" s="7">
        <f t="shared" si="448"/>
        <v>-881.64743333333365</v>
      </c>
      <c r="M183" s="7">
        <f t="shared" si="448"/>
        <v>-3525.3141000000005</v>
      </c>
      <c r="N183" s="7">
        <f t="shared" si="448"/>
        <v>-3550.980766666667</v>
      </c>
      <c r="O183" s="7">
        <f>O125</f>
        <v>21448.352566666668</v>
      </c>
      <c r="P183" s="19">
        <f>SUM(D183:O183)</f>
        <v>-2705.1486000000077</v>
      </c>
      <c r="Q183" s="7">
        <f t="shared" ref="Q183" si="449">Q125</f>
        <v>2582.6952176666618</v>
      </c>
      <c r="R183" s="7">
        <f>R125</f>
        <v>10192.861884333328</v>
      </c>
      <c r="S183" s="7">
        <f t="shared" ref="S183" si="450">S125</f>
        <v>19089.57021766666</v>
      </c>
      <c r="T183" s="7">
        <f t="shared" ref="T183:AB183" si="451">T125</f>
        <v>12529.968450999992</v>
      </c>
      <c r="U183" s="7">
        <f t="shared" si="451"/>
        <v>10065.426473666668</v>
      </c>
      <c r="V183" s="7">
        <f t="shared" si="451"/>
        <v>7953.4448070000017</v>
      </c>
      <c r="W183" s="7">
        <f t="shared" si="451"/>
        <v>7927.7781403333347</v>
      </c>
      <c r="X183" s="7">
        <f t="shared" si="451"/>
        <v>15602.111473666668</v>
      </c>
      <c r="Y183" s="7">
        <f t="shared" si="451"/>
        <v>20684.496473666666</v>
      </c>
      <c r="Z183" s="7">
        <f t="shared" si="451"/>
        <v>15027.384756999996</v>
      </c>
      <c r="AA183" s="7">
        <f t="shared" si="451"/>
        <v>15001.718090333328</v>
      </c>
      <c r="AB183" s="7">
        <f t="shared" si="451"/>
        <v>61176.051423666657</v>
      </c>
      <c r="AC183" s="19">
        <f>SUM(Q183:AB183)</f>
        <v>197833.50740999996</v>
      </c>
      <c r="AD183" s="7">
        <f t="shared" ref="AD183" si="452">AD125</f>
        <v>25947.759260500006</v>
      </c>
      <c r="AE183" s="7">
        <f>AE125</f>
        <v>33557.925927166674</v>
      </c>
      <c r="AF183" s="7">
        <f t="shared" ref="AF183:AO183" si="453">AF125</f>
        <v>42727.503010500004</v>
      </c>
      <c r="AG183" s="7">
        <f t="shared" si="453"/>
        <v>37092.136504499998</v>
      </c>
      <c r="AH183" s="7">
        <f t="shared" si="453"/>
        <v>44336.713587833336</v>
      </c>
      <c r="AI183" s="7">
        <f t="shared" si="453"/>
        <v>45646.034421166667</v>
      </c>
      <c r="AJ183" s="7">
        <f t="shared" si="453"/>
        <v>45620.367754499995</v>
      </c>
      <c r="AK183" s="7">
        <f t="shared" si="453"/>
        <v>53294.701087833331</v>
      </c>
      <c r="AL183" s="7">
        <f t="shared" si="453"/>
        <v>60539.278171166668</v>
      </c>
      <c r="AM183" s="7">
        <f t="shared" si="453"/>
        <v>46173.562627499996</v>
      </c>
      <c r="AN183" s="7">
        <f t="shared" si="453"/>
        <v>46147.895960833332</v>
      </c>
      <c r="AO183" s="7">
        <f t="shared" si="453"/>
        <v>46122.22929416666</v>
      </c>
      <c r="AP183" s="19">
        <f>SUM(AD183:AO183)</f>
        <v>527206.10760766664</v>
      </c>
    </row>
    <row r="184" spans="2:42" x14ac:dyDescent="0.3">
      <c r="B184" s="2"/>
      <c r="C184" s="19"/>
      <c r="P184" s="19"/>
      <c r="AC184" s="19"/>
      <c r="AP184" s="19"/>
    </row>
    <row r="185" spans="2:42" x14ac:dyDescent="0.3">
      <c r="B185" t="s">
        <v>287</v>
      </c>
      <c r="C185" s="19"/>
      <c r="D185" s="6">
        <f>D111</f>
        <v>116.66666666666666</v>
      </c>
      <c r="E185" s="6">
        <f t="shared" ref="E185:O185" si="454">E111</f>
        <v>150</v>
      </c>
      <c r="F185" s="6">
        <f t="shared" si="454"/>
        <v>183.33333333333331</v>
      </c>
      <c r="G185" s="6">
        <f t="shared" si="454"/>
        <v>216.66666666666669</v>
      </c>
      <c r="H185" s="6">
        <f t="shared" si="454"/>
        <v>250</v>
      </c>
      <c r="I185" s="6">
        <f t="shared" si="454"/>
        <v>283.33333333333331</v>
      </c>
      <c r="J185" s="6">
        <f t="shared" si="454"/>
        <v>316.66666666666669</v>
      </c>
      <c r="K185" s="6">
        <f t="shared" si="454"/>
        <v>350</v>
      </c>
      <c r="L185" s="6">
        <f t="shared" si="454"/>
        <v>383.33333333333331</v>
      </c>
      <c r="M185" s="6">
        <f t="shared" si="454"/>
        <v>416.66666666666663</v>
      </c>
      <c r="N185" s="6">
        <f t="shared" si="454"/>
        <v>450</v>
      </c>
      <c r="O185" s="6">
        <f t="shared" si="454"/>
        <v>483.33333333333331</v>
      </c>
      <c r="P185" s="19">
        <f>SUM(D185:O185)</f>
        <v>3600</v>
      </c>
      <c r="Q185" s="6">
        <f t="shared" ref="Q185:R185" si="455">Q111</f>
        <v>600</v>
      </c>
      <c r="R185" s="6">
        <f t="shared" si="455"/>
        <v>716.66666666666674</v>
      </c>
      <c r="S185" s="6">
        <f t="shared" ref="S185" si="456">S111</f>
        <v>750</v>
      </c>
      <c r="T185" s="6">
        <f t="shared" ref="T185:AB185" si="457">T111</f>
        <v>783.33333333333337</v>
      </c>
      <c r="U185" s="6">
        <f t="shared" si="457"/>
        <v>816.66666666666663</v>
      </c>
      <c r="V185" s="6">
        <f t="shared" si="457"/>
        <v>850</v>
      </c>
      <c r="W185" s="6">
        <f t="shared" si="457"/>
        <v>883.33333333333337</v>
      </c>
      <c r="X185" s="6">
        <f t="shared" si="457"/>
        <v>916.66666666666663</v>
      </c>
      <c r="Y185" s="6">
        <f t="shared" si="457"/>
        <v>950</v>
      </c>
      <c r="Z185" s="6">
        <f t="shared" si="457"/>
        <v>983.33333333333337</v>
      </c>
      <c r="AA185" s="6">
        <f t="shared" si="457"/>
        <v>1016.6666666666666</v>
      </c>
      <c r="AB185" s="6">
        <f t="shared" si="457"/>
        <v>1050</v>
      </c>
      <c r="AC185" s="19">
        <f>SUM(Q185:AB185)</f>
        <v>10316.666666666666</v>
      </c>
      <c r="AD185" s="6">
        <f t="shared" ref="AD185:AO185" si="458">AD111</f>
        <v>1250</v>
      </c>
      <c r="AE185" s="6">
        <f t="shared" si="458"/>
        <v>1366.6666666666665</v>
      </c>
      <c r="AF185" s="6">
        <f t="shared" si="458"/>
        <v>1400</v>
      </c>
      <c r="AG185" s="6">
        <f t="shared" si="458"/>
        <v>1433.3333333333335</v>
      </c>
      <c r="AH185" s="6">
        <f t="shared" si="458"/>
        <v>1466.6666666666665</v>
      </c>
      <c r="AI185" s="6">
        <f t="shared" si="458"/>
        <v>1500</v>
      </c>
      <c r="AJ185" s="6">
        <f t="shared" si="458"/>
        <v>1533.3333333333333</v>
      </c>
      <c r="AK185" s="6">
        <f t="shared" si="458"/>
        <v>1566.6666666666667</v>
      </c>
      <c r="AL185" s="6">
        <f t="shared" si="458"/>
        <v>1600</v>
      </c>
      <c r="AM185" s="6">
        <f t="shared" si="458"/>
        <v>1633.3333333333333</v>
      </c>
      <c r="AN185" s="6">
        <f t="shared" si="458"/>
        <v>1666.6666666666667</v>
      </c>
      <c r="AO185" s="6">
        <f t="shared" si="458"/>
        <v>1700</v>
      </c>
      <c r="AP185" s="19">
        <f>SUM(AD185:AO185)</f>
        <v>18116.666666666668</v>
      </c>
    </row>
    <row r="186" spans="2:42" x14ac:dyDescent="0.3">
      <c r="B186" t="s">
        <v>289</v>
      </c>
      <c r="C186" s="19"/>
      <c r="D186">
        <f>D119</f>
        <v>0</v>
      </c>
      <c r="E186">
        <f t="shared" ref="E186:O186" si="459">E119</f>
        <v>0</v>
      </c>
      <c r="F186">
        <f t="shared" si="459"/>
        <v>0</v>
      </c>
      <c r="G186">
        <f t="shared" si="459"/>
        <v>0</v>
      </c>
      <c r="H186">
        <f t="shared" si="459"/>
        <v>0</v>
      </c>
      <c r="I186">
        <f t="shared" si="459"/>
        <v>0</v>
      </c>
      <c r="J186">
        <f t="shared" si="459"/>
        <v>0</v>
      </c>
      <c r="K186">
        <f t="shared" si="459"/>
        <v>0</v>
      </c>
      <c r="L186">
        <f t="shared" si="459"/>
        <v>0</v>
      </c>
      <c r="M186">
        <f t="shared" si="459"/>
        <v>0</v>
      </c>
      <c r="N186">
        <f t="shared" si="459"/>
        <v>0</v>
      </c>
      <c r="O186">
        <f t="shared" si="459"/>
        <v>0</v>
      </c>
      <c r="P186" s="19">
        <f>SUM(D186:O186)</f>
        <v>0</v>
      </c>
      <c r="Q186">
        <f t="shared" ref="Q186:R186" si="460">Q119</f>
        <v>0</v>
      </c>
      <c r="R186">
        <f t="shared" si="460"/>
        <v>0</v>
      </c>
      <c r="S186">
        <f t="shared" ref="S186" si="461">S119</f>
        <v>0</v>
      </c>
      <c r="T186">
        <f t="shared" ref="T186:AB186" si="462">T119</f>
        <v>0</v>
      </c>
      <c r="U186">
        <f t="shared" si="462"/>
        <v>0</v>
      </c>
      <c r="V186">
        <f t="shared" si="462"/>
        <v>0</v>
      </c>
      <c r="W186">
        <f t="shared" si="462"/>
        <v>0</v>
      </c>
      <c r="X186">
        <f t="shared" si="462"/>
        <v>0</v>
      </c>
      <c r="Y186">
        <f t="shared" si="462"/>
        <v>0</v>
      </c>
      <c r="Z186">
        <f t="shared" si="462"/>
        <v>0</v>
      </c>
      <c r="AA186">
        <f t="shared" si="462"/>
        <v>0</v>
      </c>
      <c r="AB186">
        <f t="shared" si="462"/>
        <v>0</v>
      </c>
      <c r="AC186" s="19">
        <f>SUM(Q186:AB186)</f>
        <v>0</v>
      </c>
      <c r="AD186">
        <f t="shared" ref="AD186:AO186" si="463">AD119</f>
        <v>0</v>
      </c>
      <c r="AE186">
        <f t="shared" si="463"/>
        <v>0</v>
      </c>
      <c r="AF186">
        <f t="shared" si="463"/>
        <v>0</v>
      </c>
      <c r="AG186">
        <f t="shared" si="463"/>
        <v>0</v>
      </c>
      <c r="AH186">
        <f t="shared" si="463"/>
        <v>0</v>
      </c>
      <c r="AI186">
        <f t="shared" si="463"/>
        <v>0</v>
      </c>
      <c r="AJ186">
        <f t="shared" si="463"/>
        <v>0</v>
      </c>
      <c r="AK186">
        <f t="shared" si="463"/>
        <v>0</v>
      </c>
      <c r="AL186">
        <f t="shared" si="463"/>
        <v>0</v>
      </c>
      <c r="AM186">
        <f t="shared" si="463"/>
        <v>0</v>
      </c>
      <c r="AN186">
        <f t="shared" si="463"/>
        <v>0</v>
      </c>
      <c r="AO186">
        <f t="shared" si="463"/>
        <v>0</v>
      </c>
      <c r="AP186" s="19">
        <f>SUM(AD186:AO186)</f>
        <v>0</v>
      </c>
    </row>
    <row r="187" spans="2:42" x14ac:dyDescent="0.3">
      <c r="B187" t="s">
        <v>290</v>
      </c>
      <c r="C187" s="19"/>
      <c r="P187" s="19"/>
      <c r="AC187" s="19"/>
      <c r="AP187" s="19"/>
    </row>
    <row r="188" spans="2:42" x14ac:dyDescent="0.3">
      <c r="B188" s="2"/>
      <c r="C188" s="19"/>
      <c r="P188" s="19"/>
      <c r="AC188" s="19"/>
      <c r="AP188" s="19"/>
    </row>
    <row r="189" spans="2:42" x14ac:dyDescent="0.3">
      <c r="B189" t="s">
        <v>291</v>
      </c>
      <c r="C189" s="19"/>
      <c r="D189" s="7">
        <f t="shared" ref="D189:E189" si="464">(D146-C146)*-1</f>
        <v>-13150.684931506848</v>
      </c>
      <c r="E189" s="7">
        <f t="shared" si="464"/>
        <v>0</v>
      </c>
      <c r="F189" s="7">
        <f>(F146-E146)*-1</f>
        <v>-6575.3424657534251</v>
      </c>
      <c r="G189" s="7">
        <f t="shared" ref="G189:O189" si="465">(G146-F146)*-1</f>
        <v>5424.6575342465749</v>
      </c>
      <c r="H189" s="7">
        <f t="shared" si="465"/>
        <v>0</v>
      </c>
      <c r="I189" s="7">
        <f t="shared" si="465"/>
        <v>-8219.17808219178</v>
      </c>
      <c r="J189" s="7">
        <f t="shared" si="465"/>
        <v>821.91780821917564</v>
      </c>
      <c r="K189" s="7">
        <f t="shared" si="465"/>
        <v>0</v>
      </c>
      <c r="L189" s="7">
        <f t="shared" si="465"/>
        <v>-14794.520547945202</v>
      </c>
      <c r="M189" s="7">
        <f t="shared" si="465"/>
        <v>1479.452054794514</v>
      </c>
      <c r="N189" s="7">
        <f t="shared" si="465"/>
        <v>0</v>
      </c>
      <c r="O189" s="7">
        <f t="shared" si="465"/>
        <v>-21369.863013698632</v>
      </c>
      <c r="P189" s="19">
        <f>SUM(D189:O189)</f>
        <v>-56383.561643835623</v>
      </c>
      <c r="Q189" s="7">
        <f>(Q146-O146)*-1</f>
        <v>-583.56164383560827</v>
      </c>
      <c r="R189" s="7">
        <f t="shared" ref="R189" si="466">(R146-Q146)*-1</f>
        <v>-6575.3424657534269</v>
      </c>
      <c r="S189" s="7">
        <f t="shared" ref="S189:AB189" si="467">(S146-R146)*-1</f>
        <v>-7947.9452054794601</v>
      </c>
      <c r="T189" s="7">
        <f t="shared" si="467"/>
        <v>-8449.3150684931461</v>
      </c>
      <c r="U189" s="7">
        <f t="shared" si="467"/>
        <v>-6304.1095890410943</v>
      </c>
      <c r="V189" s="7">
        <f t="shared" si="467"/>
        <v>-1101.3698630136932</v>
      </c>
      <c r="W189" s="7">
        <f t="shared" si="467"/>
        <v>0</v>
      </c>
      <c r="X189" s="7">
        <f t="shared" si="467"/>
        <v>-6575.3424657534197</v>
      </c>
      <c r="Y189" s="7">
        <f t="shared" si="467"/>
        <v>-6304.1095890411088</v>
      </c>
      <c r="Z189" s="7">
        <f t="shared" si="467"/>
        <v>-1101.3698630136932</v>
      </c>
      <c r="AA189" s="7">
        <f t="shared" si="467"/>
        <v>0</v>
      </c>
      <c r="AB189" s="7">
        <f t="shared" si="467"/>
        <v>-39452.054794520547</v>
      </c>
      <c r="AC189" s="19">
        <f>SUM(Q189:AB189)</f>
        <v>-84394.520547945198</v>
      </c>
      <c r="AD189" s="7">
        <f>(AD146-AB146)*-1</f>
        <v>-10421.095890410943</v>
      </c>
      <c r="AE189" s="7">
        <f t="shared" ref="AE189:AO189" si="468">(AE146-AD146)*-1</f>
        <v>-6575.3424657534633</v>
      </c>
      <c r="AF189" s="7">
        <f t="shared" si="468"/>
        <v>-8180.958904109546</v>
      </c>
      <c r="AG189" s="7">
        <f t="shared" si="468"/>
        <v>-9036.1643835616705</v>
      </c>
      <c r="AH189" s="7">
        <f t="shared" si="468"/>
        <v>-6537.1232876712456</v>
      </c>
      <c r="AI189" s="7">
        <f t="shared" si="468"/>
        <v>-1567.3972602739523</v>
      </c>
      <c r="AJ189" s="7">
        <f t="shared" si="468"/>
        <v>0</v>
      </c>
      <c r="AK189" s="7">
        <f t="shared" si="468"/>
        <v>-6575.3424657534342</v>
      </c>
      <c r="AL189" s="7">
        <f t="shared" si="468"/>
        <v>-6537.1232876712165</v>
      </c>
      <c r="AM189" s="7">
        <f t="shared" si="468"/>
        <v>-1567.3972602739523</v>
      </c>
      <c r="AN189" s="7">
        <f t="shared" si="468"/>
        <v>0</v>
      </c>
      <c r="AO189" s="7">
        <f t="shared" si="468"/>
        <v>0</v>
      </c>
      <c r="AP189" s="19">
        <f>SUM(AD189:AO189)</f>
        <v>-56997.945205479424</v>
      </c>
    </row>
    <row r="190" spans="2:42" x14ac:dyDescent="0.3">
      <c r="B190" t="s">
        <v>292</v>
      </c>
      <c r="C190" s="19"/>
      <c r="D190" s="7">
        <f>D173-C173</f>
        <v>12307.589542465754</v>
      </c>
      <c r="E190" s="7">
        <f>E173-D173</f>
        <v>-3887.3593159817356</v>
      </c>
      <c r="F190" s="7">
        <f t="shared" ref="F190:O190" si="469">F173-E173</f>
        <v>1897.2808666666642</v>
      </c>
      <c r="G190" s="7">
        <f t="shared" si="469"/>
        <v>1411.1648849315097</v>
      </c>
      <c r="H190" s="7">
        <f t="shared" si="469"/>
        <v>-781.35246666666717</v>
      </c>
      <c r="I190" s="7">
        <f t="shared" si="469"/>
        <v>2474.2808666666679</v>
      </c>
      <c r="J190" s="7">
        <f t="shared" si="469"/>
        <v>4026.4467876712297</v>
      </c>
      <c r="K190" s="7">
        <f t="shared" si="469"/>
        <v>-3125.3431666666656</v>
      </c>
      <c r="L190" s="7">
        <f t="shared" si="469"/>
        <v>-192.89717853881302</v>
      </c>
      <c r="M190" s="7">
        <f t="shared" si="469"/>
        <v>7734.1706753424623</v>
      </c>
      <c r="N190" s="7">
        <f t="shared" si="469"/>
        <v>723.31743333333361</v>
      </c>
      <c r="O190" s="7">
        <f t="shared" si="469"/>
        <v>2321.7107666666707</v>
      </c>
      <c r="P190" s="19">
        <f>SUM(D190:O190)</f>
        <v>24909.009695890411</v>
      </c>
      <c r="Q190" s="7">
        <f>Q173-O173</f>
        <v>24432.872108132418</v>
      </c>
      <c r="R190" s="7">
        <f t="shared" ref="R190" si="470">R173-Q173</f>
        <v>7608.381082333326</v>
      </c>
      <c r="S190" s="7">
        <f t="shared" ref="S190:AB190" si="471">S173-R173</f>
        <v>-7668.8390987168968</v>
      </c>
      <c r="T190" s="7">
        <f t="shared" si="471"/>
        <v>26028.887116808226</v>
      </c>
      <c r="U190" s="7">
        <f t="shared" si="471"/>
        <v>-15887.237259511421</v>
      </c>
      <c r="V190" s="7">
        <f t="shared" si="471"/>
        <v>-6882.1797008356079</v>
      </c>
      <c r="W190" s="7">
        <f>W173-V173</f>
        <v>22682.00497633333</v>
      </c>
      <c r="X190" s="7">
        <f t="shared" si="471"/>
        <v>10410.690959666666</v>
      </c>
      <c r="Y190" s="7">
        <f t="shared" si="471"/>
        <v>-8183.2797464977193</v>
      </c>
      <c r="Z190" s="7">
        <f t="shared" si="471"/>
        <v>30093.43744642465</v>
      </c>
      <c r="AA190" s="7">
        <f t="shared" si="471"/>
        <v>8543.3526763333502</v>
      </c>
      <c r="AB190" s="7">
        <f t="shared" si="471"/>
        <v>2055.7336596666719</v>
      </c>
      <c r="AC190" s="19">
        <f>SUM(Q190:AB190)</f>
        <v>93233.824220136987</v>
      </c>
      <c r="AD190" s="7">
        <f>AD173-AB173</f>
        <v>69008.468517671208</v>
      </c>
      <c r="AE190" s="7">
        <f t="shared" ref="AE190:AO190" si="472">AE173-AD173</f>
        <v>13911.409206851618</v>
      </c>
      <c r="AF190" s="7">
        <f t="shared" si="472"/>
        <v>-16920.276565383567</v>
      </c>
      <c r="AG190" s="7">
        <f t="shared" si="472"/>
        <v>56508.065574356151</v>
      </c>
      <c r="AH190" s="7">
        <f t="shared" si="472"/>
        <v>-34618.78163623513</v>
      </c>
      <c r="AI190" s="7">
        <f t="shared" si="472"/>
        <v>-17575.027887922362</v>
      </c>
      <c r="AJ190" s="7">
        <f t="shared" si="472"/>
        <v>58926.724135999975</v>
      </c>
      <c r="AK190" s="7">
        <f t="shared" si="472"/>
        <v>24561.756428833352</v>
      </c>
      <c r="AL190" s="7">
        <f t="shared" si="472"/>
        <v>-15738.429343401862</v>
      </c>
      <c r="AM190" s="7">
        <f t="shared" si="472"/>
        <v>65051.130344506935</v>
      </c>
      <c r="AN190" s="7">
        <f t="shared" si="472"/>
        <v>20961.476455833355</v>
      </c>
      <c r="AO190" s="7">
        <f t="shared" si="472"/>
        <v>-20585.492501333414</v>
      </c>
      <c r="AP190" s="19">
        <f>SUM(AD190:AO190)</f>
        <v>203491.02272977628</v>
      </c>
    </row>
    <row r="191" spans="2:42" x14ac:dyDescent="0.3">
      <c r="B191" s="2"/>
      <c r="C191" s="19"/>
      <c r="P191" s="19"/>
      <c r="AC191" s="19"/>
      <c r="AP191" s="19"/>
    </row>
    <row r="192" spans="2:42" x14ac:dyDescent="0.3">
      <c r="B192" t="s">
        <v>293</v>
      </c>
      <c r="C192" s="19"/>
      <c r="P192" s="19"/>
      <c r="AC192" s="19"/>
      <c r="AP192" s="19"/>
    </row>
    <row r="193" spans="2:42" x14ac:dyDescent="0.3">
      <c r="B193" t="s">
        <v>294</v>
      </c>
      <c r="C193" s="19"/>
      <c r="D193" s="7">
        <v>0</v>
      </c>
      <c r="E193" s="7">
        <v>0</v>
      </c>
      <c r="F193" s="7">
        <v>0</v>
      </c>
      <c r="G193" s="7">
        <v>0</v>
      </c>
      <c r="H193" s="7">
        <v>0</v>
      </c>
      <c r="I193" s="7">
        <v>0</v>
      </c>
      <c r="J193" s="7">
        <v>0</v>
      </c>
      <c r="K193" s="7">
        <v>0</v>
      </c>
      <c r="L193" s="7">
        <v>0</v>
      </c>
      <c r="M193" s="7">
        <v>0</v>
      </c>
      <c r="N193" s="7">
        <v>0</v>
      </c>
      <c r="O193" s="7">
        <v>0</v>
      </c>
      <c r="P193" s="19">
        <f>SUM(C193:O193)</f>
        <v>0</v>
      </c>
      <c r="Q193" s="7">
        <v>0</v>
      </c>
      <c r="R193" s="7">
        <v>0</v>
      </c>
      <c r="S193" s="7">
        <v>0</v>
      </c>
      <c r="T193" s="7">
        <v>0</v>
      </c>
      <c r="U193" s="7">
        <v>0</v>
      </c>
      <c r="V193" s="7">
        <v>0</v>
      </c>
      <c r="W193" s="7">
        <v>0</v>
      </c>
      <c r="X193" s="7">
        <v>0</v>
      </c>
      <c r="Y193" s="7">
        <v>0</v>
      </c>
      <c r="Z193" s="7">
        <v>0</v>
      </c>
      <c r="AA193" s="7">
        <v>0</v>
      </c>
      <c r="AB193" s="7">
        <v>0</v>
      </c>
      <c r="AC193" s="19">
        <f>SUM(P193:AB193)</f>
        <v>0</v>
      </c>
      <c r="AD193" s="7">
        <v>0</v>
      </c>
      <c r="AE193" s="7">
        <v>0</v>
      </c>
      <c r="AF193" s="7">
        <v>0</v>
      </c>
      <c r="AG193" s="7">
        <v>0</v>
      </c>
      <c r="AH193" s="7">
        <v>0</v>
      </c>
      <c r="AI193" s="7">
        <v>0</v>
      </c>
      <c r="AJ193" s="7">
        <v>0</v>
      </c>
      <c r="AK193" s="7">
        <v>0</v>
      </c>
      <c r="AL193" s="7">
        <v>0</v>
      </c>
      <c r="AM193" s="7">
        <v>0</v>
      </c>
      <c r="AN193" s="7">
        <v>0</v>
      </c>
      <c r="AO193" s="7">
        <v>0</v>
      </c>
      <c r="AP193" s="19">
        <f>SUM(AC193:AO193)</f>
        <v>0</v>
      </c>
    </row>
    <row r="194" spans="2:42" x14ac:dyDescent="0.3">
      <c r="C194" s="19"/>
      <c r="P194" s="19"/>
      <c r="AC194" s="19"/>
      <c r="AP194" s="19"/>
    </row>
    <row r="195" spans="2:42" x14ac:dyDescent="0.3">
      <c r="B195" s="2" t="s">
        <v>295</v>
      </c>
      <c r="C195" s="19">
        <f>SUM(C183:C193)</f>
        <v>-11550</v>
      </c>
      <c r="D195" s="12">
        <f t="shared" ref="D195:Q195" si="473">SUM(D183:D193)</f>
        <v>-1416.7029223744285</v>
      </c>
      <c r="E195" s="12">
        <f t="shared" si="473"/>
        <v>-4453.3001826484024</v>
      </c>
      <c r="F195" s="12">
        <f t="shared" si="473"/>
        <v>2463.6642009132365</v>
      </c>
      <c r="G195" s="12">
        <f t="shared" si="473"/>
        <v>7247.7148858447508</v>
      </c>
      <c r="H195" s="12">
        <f t="shared" si="473"/>
        <v>-361.79333333333432</v>
      </c>
      <c r="I195" s="12">
        <f t="shared" si="473"/>
        <v>4307.3285844748862</v>
      </c>
      <c r="J195" s="12">
        <f t="shared" si="473"/>
        <v>-10762.84223744293</v>
      </c>
      <c r="K195" s="12">
        <f t="shared" si="473"/>
        <v>-18728.883333333331</v>
      </c>
      <c r="L195" s="12">
        <f t="shared" si="473"/>
        <v>-15485.731826484014</v>
      </c>
      <c r="M195" s="12">
        <f t="shared" si="473"/>
        <v>6104.9752968036428</v>
      </c>
      <c r="N195" s="12">
        <f t="shared" si="473"/>
        <v>-2377.6633333333334</v>
      </c>
      <c r="O195" s="12">
        <f t="shared" si="473"/>
        <v>2883.533652968039</v>
      </c>
      <c r="P195" s="19">
        <f t="shared" si="473"/>
        <v>-30579.70054794522</v>
      </c>
      <c r="Q195" s="12">
        <f t="shared" si="473"/>
        <v>27032.00568196347</v>
      </c>
      <c r="R195" s="12">
        <f t="shared" ref="R195" si="474">SUM(R183:R193)</f>
        <v>11942.567167579893</v>
      </c>
      <c r="S195" s="12">
        <f t="shared" ref="S195" si="475">SUM(S183:S193)</f>
        <v>4222.7859134703031</v>
      </c>
      <c r="T195" s="12">
        <f t="shared" ref="T195:AF195" si="476">SUM(T183:T193)</f>
        <v>30892.873832648405</v>
      </c>
      <c r="U195" s="12">
        <f t="shared" si="476"/>
        <v>-11309.253708219181</v>
      </c>
      <c r="V195" s="12">
        <f t="shared" si="476"/>
        <v>819.89524315070048</v>
      </c>
      <c r="W195" s="12">
        <f t="shared" si="476"/>
        <v>31493.116449999998</v>
      </c>
      <c r="X195" s="12">
        <f t="shared" si="476"/>
        <v>20354.126634246582</v>
      </c>
      <c r="Y195" s="12">
        <f t="shared" si="476"/>
        <v>7147.107138127838</v>
      </c>
      <c r="Z195" s="12">
        <f t="shared" si="476"/>
        <v>45002.785673744285</v>
      </c>
      <c r="AA195" s="12">
        <f t="shared" si="476"/>
        <v>24561.737433333343</v>
      </c>
      <c r="AB195" s="12">
        <f t="shared" si="476"/>
        <v>24829.730288812782</v>
      </c>
      <c r="AC195" s="19">
        <f t="shared" si="476"/>
        <v>216989.47774885839</v>
      </c>
      <c r="AD195" s="12">
        <f t="shared" si="476"/>
        <v>85785.131887760275</v>
      </c>
      <c r="AE195" s="12">
        <f t="shared" si="476"/>
        <v>42260.659334931494</v>
      </c>
      <c r="AF195" s="12">
        <f t="shared" si="476"/>
        <v>19026.267541006891</v>
      </c>
      <c r="AG195" s="12">
        <f t="shared" ref="AG195:AP195" si="477">SUM(AG183:AG193)</f>
        <v>85997.371028627822</v>
      </c>
      <c r="AH195" s="12">
        <f t="shared" si="477"/>
        <v>4647.4753305936247</v>
      </c>
      <c r="AI195" s="12">
        <f t="shared" si="477"/>
        <v>28003.609272970352</v>
      </c>
      <c r="AJ195" s="12">
        <f t="shared" si="477"/>
        <v>106080.4252238333</v>
      </c>
      <c r="AK195" s="12">
        <f t="shared" si="477"/>
        <v>72847.781717579914</v>
      </c>
      <c r="AL195" s="12">
        <f t="shared" si="477"/>
        <v>39863.72554009359</v>
      </c>
      <c r="AM195" s="12">
        <f t="shared" si="477"/>
        <v>111290.62904506631</v>
      </c>
      <c r="AN195" s="12">
        <f t="shared" si="477"/>
        <v>68776.039083333351</v>
      </c>
      <c r="AO195" s="12">
        <f t="shared" si="477"/>
        <v>27236.736792833246</v>
      </c>
      <c r="AP195" s="19">
        <f t="shared" si="477"/>
        <v>691815.85179863009</v>
      </c>
    </row>
    <row r="196" spans="2:42" x14ac:dyDescent="0.3">
      <c r="B196" s="2"/>
      <c r="C196" s="19"/>
      <c r="P196" s="19"/>
      <c r="AC196" s="19"/>
      <c r="AP196" s="19"/>
    </row>
    <row r="197" spans="2:42" x14ac:dyDescent="0.3">
      <c r="B197" t="s">
        <v>296</v>
      </c>
      <c r="C197" s="19"/>
      <c r="D197" s="7">
        <f>(D130-C130+D132-C132+D136-C136)*-1</f>
        <v>-7000</v>
      </c>
      <c r="E197" s="7">
        <f t="shared" ref="E197:O197" si="478">(E130-D130+E132-D132+E136-D136)*-1</f>
        <v>-2000</v>
      </c>
      <c r="F197" s="7">
        <f t="shared" si="478"/>
        <v>-2000</v>
      </c>
      <c r="G197" s="7">
        <f t="shared" si="478"/>
        <v>-2000</v>
      </c>
      <c r="H197" s="7">
        <f t="shared" si="478"/>
        <v>-2000</v>
      </c>
      <c r="I197" s="7">
        <f t="shared" si="478"/>
        <v>-2000</v>
      </c>
      <c r="J197" s="7">
        <f t="shared" si="478"/>
        <v>-2000</v>
      </c>
      <c r="K197" s="7">
        <f t="shared" si="478"/>
        <v>-2000</v>
      </c>
      <c r="L197" s="7">
        <f t="shared" si="478"/>
        <v>-2000</v>
      </c>
      <c r="M197" s="7">
        <f t="shared" si="478"/>
        <v>-2000</v>
      </c>
      <c r="N197" s="7">
        <f t="shared" si="478"/>
        <v>-2000</v>
      </c>
      <c r="O197" s="7">
        <f t="shared" si="478"/>
        <v>-2000</v>
      </c>
      <c r="P197" s="19">
        <f>SUM(C197:O197)</f>
        <v>-29000</v>
      </c>
      <c r="Q197" s="7">
        <f>(Q130-O130+Q132-O132+Q136-O136)*-1</f>
        <v>-7000</v>
      </c>
      <c r="R197" s="7">
        <f>(R130-Q130+R132-Q132+R136-Q136)*-1</f>
        <v>-7000</v>
      </c>
      <c r="S197" s="7">
        <f t="shared" ref="S197" si="479">(S130-R130+S132-R132+S136-R136)*-1</f>
        <v>-2000</v>
      </c>
      <c r="T197" s="7">
        <f t="shared" ref="T197" si="480">(T130-S130+T132-S132+T136-S136)*-1</f>
        <v>-2000</v>
      </c>
      <c r="U197" s="7">
        <f t="shared" ref="U197" si="481">(U130-T130+U132-T132+U136-T136)*-1</f>
        <v>-2000</v>
      </c>
      <c r="V197" s="7">
        <f t="shared" ref="V197" si="482">(V130-U130+V132-U132+V136-U136)*-1</f>
        <v>-2000</v>
      </c>
      <c r="W197" s="7">
        <f t="shared" ref="W197" si="483">(W130-V130+W132-V132+W136-V136)*-1</f>
        <v>-2000</v>
      </c>
      <c r="X197" s="7">
        <f t="shared" ref="X197" si="484">(X130-W130+X132-W132+X136-W136)*-1</f>
        <v>-2000</v>
      </c>
      <c r="Y197" s="7">
        <f t="shared" ref="Y197" si="485">(Y130-X130+Y132-X132+Y136-X136)*-1</f>
        <v>-2000</v>
      </c>
      <c r="Z197" s="7">
        <f t="shared" ref="Z197" si="486">(Z130-Y130+Z132-Y132+Z136-Y136)*-1</f>
        <v>-2000</v>
      </c>
      <c r="AA197" s="7">
        <f t="shared" ref="AA197" si="487">(AA130-Z130+AA132-Z132+AA136-Z136)*-1</f>
        <v>-2000</v>
      </c>
      <c r="AB197" s="7">
        <f t="shared" ref="AB197" si="488">(AB130-AA130+AB132-AA132+AB136-AA136)*-1</f>
        <v>-2000</v>
      </c>
      <c r="AC197" s="19">
        <f>SUM(Q197:AB197)</f>
        <v>-34000</v>
      </c>
      <c r="AD197" s="7">
        <f>(AD130-AB130+AD132-AB132+AD136-AB136)*-1</f>
        <v>-12000</v>
      </c>
      <c r="AE197" s="7">
        <f>(AE130-AD130+AE132-AD132+AE136-AD136)*-1</f>
        <v>-7000</v>
      </c>
      <c r="AF197" s="7">
        <f t="shared" ref="AF197" si="489">(AF130-AE130+AF132-AE132+AF136-AE136)*-1</f>
        <v>-2000</v>
      </c>
      <c r="AG197" s="7">
        <f t="shared" ref="AG197" si="490">(AG130-AF130+AG132-AF132+AG136-AF136)*-1</f>
        <v>-2000</v>
      </c>
      <c r="AH197" s="7">
        <f t="shared" ref="AH197" si="491">(AH130-AG130+AH132-AG132+AH136-AG136)*-1</f>
        <v>-2000</v>
      </c>
      <c r="AI197" s="7">
        <f t="shared" ref="AI197" si="492">(AI130-AH130+AI132-AH132+AI136-AH136)*-1</f>
        <v>-2000</v>
      </c>
      <c r="AJ197" s="7">
        <f t="shared" ref="AJ197" si="493">(AJ130-AI130+AJ132-AI132+AJ136-AI136)*-1</f>
        <v>-2000</v>
      </c>
      <c r="AK197" s="7">
        <f t="shared" ref="AK197" si="494">(AK130-AJ130+AK132-AJ132+AK136-AJ136)*-1</f>
        <v>-2000</v>
      </c>
      <c r="AL197" s="7">
        <f t="shared" ref="AL197" si="495">(AL130-AK130+AL132-AK132+AL136-AK136)*-1</f>
        <v>-2000</v>
      </c>
      <c r="AM197" s="7">
        <f t="shared" ref="AM197" si="496">(AM130-AL130+AM132-AL132+AM136-AL136)*-1</f>
        <v>-2000</v>
      </c>
      <c r="AN197" s="7">
        <f t="shared" ref="AN197" si="497">(AN130-AM130+AN132-AM132+AN136-AM136)*-1</f>
        <v>-2000</v>
      </c>
      <c r="AO197" s="7">
        <f t="shared" ref="AO197" si="498">(AO130-AN130+AO132-AN132+AO136-AN136)*-1</f>
        <v>-2000</v>
      </c>
      <c r="AP197" s="19">
        <f>SUM(AD197:AO197)</f>
        <v>-39000</v>
      </c>
    </row>
    <row r="198" spans="2:42" x14ac:dyDescent="0.3">
      <c r="B198" t="s">
        <v>297</v>
      </c>
      <c r="C198" s="19"/>
      <c r="P198" s="19"/>
      <c r="AC198" s="19"/>
      <c r="AP198" s="19"/>
    </row>
    <row r="199" spans="2:42" x14ac:dyDescent="0.3">
      <c r="B199" t="s">
        <v>309</v>
      </c>
      <c r="C199" s="19">
        <v>-3450</v>
      </c>
      <c r="D199" s="7">
        <v>0</v>
      </c>
      <c r="E199" s="7">
        <v>0</v>
      </c>
      <c r="F199" s="7">
        <v>0</v>
      </c>
      <c r="G199" s="7">
        <v>0</v>
      </c>
      <c r="H199" s="7">
        <v>0</v>
      </c>
      <c r="I199" s="7">
        <v>0</v>
      </c>
      <c r="J199" s="7">
        <v>0</v>
      </c>
      <c r="K199" s="7">
        <v>0</v>
      </c>
      <c r="L199" s="7">
        <v>0</v>
      </c>
      <c r="M199" s="7">
        <v>0</v>
      </c>
      <c r="N199" s="7">
        <v>0</v>
      </c>
      <c r="O199" s="7">
        <v>0</v>
      </c>
      <c r="P199" s="19">
        <f>SUM(D199:O199)</f>
        <v>0</v>
      </c>
      <c r="Q199" s="7">
        <v>0</v>
      </c>
      <c r="R199" s="7">
        <v>0</v>
      </c>
      <c r="S199" s="7">
        <v>0</v>
      </c>
      <c r="T199" s="7">
        <v>0</v>
      </c>
      <c r="U199" s="7">
        <v>0</v>
      </c>
      <c r="V199" s="7">
        <v>0</v>
      </c>
      <c r="W199" s="7">
        <v>0</v>
      </c>
      <c r="X199" s="7">
        <v>0</v>
      </c>
      <c r="Y199" s="7">
        <v>0</v>
      </c>
      <c r="Z199" s="7">
        <v>0</v>
      </c>
      <c r="AA199" s="7">
        <v>0</v>
      </c>
      <c r="AB199" s="7">
        <v>0</v>
      </c>
      <c r="AC199" s="19">
        <f>SUM(Q199:AB199)</f>
        <v>0</v>
      </c>
      <c r="AD199" s="7">
        <v>0</v>
      </c>
      <c r="AE199" s="7">
        <v>0</v>
      </c>
      <c r="AF199" s="7">
        <v>0</v>
      </c>
      <c r="AG199" s="7">
        <v>0</v>
      </c>
      <c r="AH199" s="7">
        <v>0</v>
      </c>
      <c r="AI199" s="7">
        <v>0</v>
      </c>
      <c r="AJ199" s="7">
        <v>0</v>
      </c>
      <c r="AK199" s="7">
        <v>0</v>
      </c>
      <c r="AL199" s="7">
        <v>0</v>
      </c>
      <c r="AM199" s="7">
        <v>0</v>
      </c>
      <c r="AN199" s="7">
        <v>0</v>
      </c>
      <c r="AO199" s="7">
        <v>0</v>
      </c>
      <c r="AP199" s="19">
        <f>SUM(AD199:AO199)</f>
        <v>0</v>
      </c>
    </row>
    <row r="200" spans="2:42" x14ac:dyDescent="0.3">
      <c r="B200" s="2"/>
      <c r="C200" s="19"/>
      <c r="P200" s="19"/>
      <c r="AC200" s="19"/>
      <c r="AP200" s="19"/>
    </row>
    <row r="201" spans="2:42" x14ac:dyDescent="0.3">
      <c r="B201" s="2" t="s">
        <v>298</v>
      </c>
      <c r="C201" s="19">
        <f>SUM(C197:C199)</f>
        <v>-3450</v>
      </c>
      <c r="D201" s="13">
        <f t="shared" ref="D201:Q201" si="499">SUM(D197:D199)</f>
        <v>-7000</v>
      </c>
      <c r="E201" s="13">
        <f t="shared" si="499"/>
        <v>-2000</v>
      </c>
      <c r="F201" s="13">
        <f t="shared" si="499"/>
        <v>-2000</v>
      </c>
      <c r="G201" s="13">
        <f t="shared" si="499"/>
        <v>-2000</v>
      </c>
      <c r="H201" s="13">
        <f t="shared" si="499"/>
        <v>-2000</v>
      </c>
      <c r="I201" s="13">
        <f t="shared" si="499"/>
        <v>-2000</v>
      </c>
      <c r="J201" s="13">
        <f t="shared" si="499"/>
        <v>-2000</v>
      </c>
      <c r="K201" s="13">
        <f t="shared" si="499"/>
        <v>-2000</v>
      </c>
      <c r="L201" s="13">
        <f t="shared" si="499"/>
        <v>-2000</v>
      </c>
      <c r="M201" s="13">
        <f t="shared" si="499"/>
        <v>-2000</v>
      </c>
      <c r="N201" s="13">
        <f t="shared" si="499"/>
        <v>-2000</v>
      </c>
      <c r="O201" s="13">
        <f t="shared" si="499"/>
        <v>-2000</v>
      </c>
      <c r="P201" s="19">
        <f t="shared" si="499"/>
        <v>-29000</v>
      </c>
      <c r="Q201" s="13">
        <f t="shared" si="499"/>
        <v>-7000</v>
      </c>
      <c r="R201" s="13">
        <f t="shared" ref="R201" si="500">SUM(R197:R199)</f>
        <v>-7000</v>
      </c>
      <c r="S201" s="13">
        <f t="shared" ref="S201" si="501">SUM(S197:S199)</f>
        <v>-2000</v>
      </c>
      <c r="T201" s="13">
        <f t="shared" ref="T201:AF201" si="502">SUM(T197:T199)</f>
        <v>-2000</v>
      </c>
      <c r="U201" s="13">
        <f t="shared" si="502"/>
        <v>-2000</v>
      </c>
      <c r="V201" s="13">
        <f t="shared" si="502"/>
        <v>-2000</v>
      </c>
      <c r="W201" s="13">
        <f t="shared" si="502"/>
        <v>-2000</v>
      </c>
      <c r="X201" s="13">
        <f t="shared" si="502"/>
        <v>-2000</v>
      </c>
      <c r="Y201" s="13">
        <f t="shared" si="502"/>
        <v>-2000</v>
      </c>
      <c r="Z201" s="13">
        <f t="shared" si="502"/>
        <v>-2000</v>
      </c>
      <c r="AA201" s="13">
        <f t="shared" si="502"/>
        <v>-2000</v>
      </c>
      <c r="AB201" s="13">
        <f t="shared" si="502"/>
        <v>-2000</v>
      </c>
      <c r="AC201" s="19">
        <f t="shared" si="502"/>
        <v>-34000</v>
      </c>
      <c r="AD201" s="13">
        <f t="shared" si="502"/>
        <v>-12000</v>
      </c>
      <c r="AE201" s="13">
        <f t="shared" si="502"/>
        <v>-7000</v>
      </c>
      <c r="AF201" s="13">
        <f t="shared" si="502"/>
        <v>-2000</v>
      </c>
      <c r="AG201" s="13">
        <f t="shared" ref="AG201:AP201" si="503">SUM(AG197:AG199)</f>
        <v>-2000</v>
      </c>
      <c r="AH201" s="13">
        <f t="shared" si="503"/>
        <v>-2000</v>
      </c>
      <c r="AI201" s="13">
        <f t="shared" si="503"/>
        <v>-2000</v>
      </c>
      <c r="AJ201" s="13">
        <f t="shared" si="503"/>
        <v>-2000</v>
      </c>
      <c r="AK201" s="13">
        <f t="shared" si="503"/>
        <v>-2000</v>
      </c>
      <c r="AL201" s="13">
        <f t="shared" si="503"/>
        <v>-2000</v>
      </c>
      <c r="AM201" s="13">
        <f t="shared" si="503"/>
        <v>-2000</v>
      </c>
      <c r="AN201" s="13">
        <f t="shared" si="503"/>
        <v>-2000</v>
      </c>
      <c r="AO201" s="13">
        <f t="shared" si="503"/>
        <v>-2000</v>
      </c>
      <c r="AP201" s="19">
        <f t="shared" si="503"/>
        <v>-39000</v>
      </c>
    </row>
    <row r="202" spans="2:42" x14ac:dyDescent="0.3">
      <c r="B202" s="2"/>
      <c r="C202" s="19"/>
      <c r="P202" s="19"/>
      <c r="AC202" s="19"/>
      <c r="AP202" s="19"/>
    </row>
    <row r="203" spans="2:42" x14ac:dyDescent="0.3">
      <c r="B203" t="s">
        <v>299</v>
      </c>
      <c r="C203" s="19">
        <f>C152</f>
        <v>1000</v>
      </c>
      <c r="P203" s="19">
        <f>SUM(D203:O203)</f>
        <v>0</v>
      </c>
      <c r="AC203" s="19">
        <f>SUM(Q203:AB203)</f>
        <v>0</v>
      </c>
      <c r="AP203" s="19">
        <f>SUM(AD203:AO203)</f>
        <v>0</v>
      </c>
    </row>
    <row r="204" spans="2:42" x14ac:dyDescent="0.3">
      <c r="B204" t="s">
        <v>300</v>
      </c>
      <c r="C204" s="19">
        <f>C153</f>
        <v>19000</v>
      </c>
      <c r="P204" s="19">
        <f>SUM(D204:O204)</f>
        <v>0</v>
      </c>
      <c r="AC204" s="19">
        <f>SUM(Q204:AB204)</f>
        <v>0</v>
      </c>
      <c r="AP204" s="19">
        <f>SUM(AD204:AO204)</f>
        <v>0</v>
      </c>
    </row>
    <row r="205" spans="2:42" x14ac:dyDescent="0.3">
      <c r="B205" t="s">
        <v>301</v>
      </c>
      <c r="C205" s="19"/>
      <c r="P205" s="19">
        <f t="shared" ref="P205:P207" si="504">SUM(C205:O205)</f>
        <v>0</v>
      </c>
      <c r="AC205" s="19">
        <f t="shared" ref="AC205:AC207" si="505">SUM(P205:AB205)</f>
        <v>0</v>
      </c>
      <c r="AP205" s="19">
        <f t="shared" ref="AP205:AP207" si="506">SUM(AC205:AO205)</f>
        <v>0</v>
      </c>
    </row>
    <row r="206" spans="2:42" x14ac:dyDescent="0.3">
      <c r="B206" t="s">
        <v>302</v>
      </c>
      <c r="C206" s="19"/>
      <c r="P206" s="19">
        <f t="shared" si="504"/>
        <v>0</v>
      </c>
      <c r="AC206" s="19">
        <f t="shared" si="505"/>
        <v>0</v>
      </c>
      <c r="AP206" s="19">
        <f t="shared" si="506"/>
        <v>0</v>
      </c>
    </row>
    <row r="207" spans="2:42" x14ac:dyDescent="0.3">
      <c r="B207" t="s">
        <v>303</v>
      </c>
      <c r="C207" s="19"/>
      <c r="P207" s="19">
        <f t="shared" si="504"/>
        <v>0</v>
      </c>
      <c r="AC207" s="19">
        <f t="shared" si="505"/>
        <v>0</v>
      </c>
      <c r="AP207" s="19">
        <f t="shared" si="506"/>
        <v>0</v>
      </c>
    </row>
    <row r="208" spans="2:42" x14ac:dyDescent="0.3">
      <c r="B208" s="2"/>
      <c r="C208" s="19"/>
      <c r="P208" s="19"/>
      <c r="AC208" s="19"/>
      <c r="AP208" s="19"/>
    </row>
    <row r="209" spans="2:42" x14ac:dyDescent="0.3">
      <c r="B209" s="2" t="s">
        <v>304</v>
      </c>
      <c r="C209" s="19">
        <f>SUM(C203:C207)</f>
        <v>20000</v>
      </c>
      <c r="D209" s="12">
        <f t="shared" ref="D209:O209" si="507">SUM(D203:D207)</f>
        <v>0</v>
      </c>
      <c r="E209" s="12">
        <f t="shared" si="507"/>
        <v>0</v>
      </c>
      <c r="F209" s="12">
        <f t="shared" si="507"/>
        <v>0</v>
      </c>
      <c r="G209" s="12">
        <f t="shared" si="507"/>
        <v>0</v>
      </c>
      <c r="H209" s="12">
        <f t="shared" si="507"/>
        <v>0</v>
      </c>
      <c r="I209" s="12">
        <f t="shared" si="507"/>
        <v>0</v>
      </c>
      <c r="J209" s="12">
        <f t="shared" si="507"/>
        <v>0</v>
      </c>
      <c r="K209" s="12">
        <f t="shared" si="507"/>
        <v>0</v>
      </c>
      <c r="L209" s="12">
        <f t="shared" si="507"/>
        <v>0</v>
      </c>
      <c r="M209" s="12">
        <f t="shared" si="507"/>
        <v>0</v>
      </c>
      <c r="N209" s="12">
        <f t="shared" si="507"/>
        <v>0</v>
      </c>
      <c r="O209" s="12">
        <f t="shared" si="507"/>
        <v>0</v>
      </c>
      <c r="P209" s="19">
        <f>SUM(P203:P207)</f>
        <v>0</v>
      </c>
      <c r="Q209" s="12">
        <f t="shared" ref="Q209:R209" si="508">SUM(Q203:Q207)</f>
        <v>0</v>
      </c>
      <c r="R209" s="12">
        <f t="shared" si="508"/>
        <v>0</v>
      </c>
      <c r="S209" s="12">
        <f t="shared" ref="S209" si="509">SUM(S203:S207)</f>
        <v>0</v>
      </c>
      <c r="T209" s="12">
        <f t="shared" ref="T209:AB209" si="510">SUM(T203:T207)</f>
        <v>0</v>
      </c>
      <c r="U209" s="12">
        <f t="shared" si="510"/>
        <v>0</v>
      </c>
      <c r="V209" s="12">
        <f t="shared" si="510"/>
        <v>0</v>
      </c>
      <c r="W209" s="12">
        <f t="shared" si="510"/>
        <v>0</v>
      </c>
      <c r="X209" s="12">
        <f t="shared" si="510"/>
        <v>0</v>
      </c>
      <c r="Y209" s="12">
        <f t="shared" si="510"/>
        <v>0</v>
      </c>
      <c r="Z209" s="12">
        <f t="shared" si="510"/>
        <v>0</v>
      </c>
      <c r="AA209" s="12">
        <f t="shared" si="510"/>
        <v>0</v>
      </c>
      <c r="AB209" s="12">
        <f t="shared" si="510"/>
        <v>0</v>
      </c>
      <c r="AC209" s="19">
        <f>SUM(AC203:AC207)</f>
        <v>0</v>
      </c>
      <c r="AD209" s="12">
        <f t="shared" ref="AD209:AO209" si="511">SUM(AD203:AD207)</f>
        <v>0</v>
      </c>
      <c r="AE209" s="12">
        <f t="shared" si="511"/>
        <v>0</v>
      </c>
      <c r="AF209" s="12">
        <f t="shared" si="511"/>
        <v>0</v>
      </c>
      <c r="AG209" s="12">
        <f t="shared" si="511"/>
        <v>0</v>
      </c>
      <c r="AH209" s="12">
        <f t="shared" si="511"/>
        <v>0</v>
      </c>
      <c r="AI209" s="12">
        <f t="shared" si="511"/>
        <v>0</v>
      </c>
      <c r="AJ209" s="12">
        <f t="shared" si="511"/>
        <v>0</v>
      </c>
      <c r="AK209" s="12">
        <f t="shared" si="511"/>
        <v>0</v>
      </c>
      <c r="AL209" s="12">
        <f t="shared" si="511"/>
        <v>0</v>
      </c>
      <c r="AM209" s="12">
        <f t="shared" si="511"/>
        <v>0</v>
      </c>
      <c r="AN209" s="12">
        <f t="shared" si="511"/>
        <v>0</v>
      </c>
      <c r="AO209" s="12">
        <f t="shared" si="511"/>
        <v>0</v>
      </c>
      <c r="AP209" s="19">
        <f>SUM(AP203:AP207)</f>
        <v>0</v>
      </c>
    </row>
    <row r="210" spans="2:42" x14ac:dyDescent="0.3">
      <c r="C210" s="19"/>
      <c r="P210" s="19"/>
      <c r="AC210" s="19"/>
      <c r="AP210" s="19"/>
    </row>
    <row r="211" spans="2:42" x14ac:dyDescent="0.3">
      <c r="B211" t="s">
        <v>305</v>
      </c>
      <c r="C211" s="19">
        <f>C195+C201+C209</f>
        <v>5000</v>
      </c>
      <c r="D211" s="7">
        <f t="shared" ref="D211:Q211" si="512">D195+D201+D209</f>
        <v>-8416.7029223744285</v>
      </c>
      <c r="E211" s="7">
        <f t="shared" si="512"/>
        <v>-6453.3001826484024</v>
      </c>
      <c r="F211" s="7">
        <f t="shared" si="512"/>
        <v>463.66420091323653</v>
      </c>
      <c r="G211" s="7">
        <f t="shared" si="512"/>
        <v>5247.7148858447508</v>
      </c>
      <c r="H211" s="7">
        <f t="shared" si="512"/>
        <v>-2361.7933333333344</v>
      </c>
      <c r="I211" s="7">
        <f t="shared" si="512"/>
        <v>2307.3285844748862</v>
      </c>
      <c r="J211" s="7">
        <f t="shared" si="512"/>
        <v>-12762.84223744293</v>
      </c>
      <c r="K211" s="7">
        <f t="shared" si="512"/>
        <v>-20728.883333333331</v>
      </c>
      <c r="L211" s="7">
        <f t="shared" si="512"/>
        <v>-17485.731826484014</v>
      </c>
      <c r="M211" s="7">
        <f t="shared" si="512"/>
        <v>4104.9752968036428</v>
      </c>
      <c r="N211" s="7">
        <f t="shared" si="512"/>
        <v>-4377.6633333333339</v>
      </c>
      <c r="O211" s="7">
        <f t="shared" si="512"/>
        <v>883.53365296803895</v>
      </c>
      <c r="P211" s="19">
        <f t="shared" si="512"/>
        <v>-59579.70054794522</v>
      </c>
      <c r="Q211" s="7">
        <f t="shared" si="512"/>
        <v>20032.00568196347</v>
      </c>
      <c r="R211" s="7">
        <f>R195+R201+R209</f>
        <v>4942.5671675798931</v>
      </c>
      <c r="S211" s="7">
        <f t="shared" ref="S211" si="513">S195+S201+S209</f>
        <v>2222.7859134703031</v>
      </c>
      <c r="T211" s="7">
        <f t="shared" ref="T211:AD211" si="514">T195+T201+T209</f>
        <v>28892.873832648405</v>
      </c>
      <c r="U211" s="7">
        <f t="shared" si="514"/>
        <v>-13309.253708219181</v>
      </c>
      <c r="V211" s="7">
        <f t="shared" si="514"/>
        <v>-1180.1047568492995</v>
      </c>
      <c r="W211" s="7">
        <f>W195+W201+W209</f>
        <v>29493.116449999998</v>
      </c>
      <c r="X211" s="7">
        <f t="shared" si="514"/>
        <v>18354.126634246582</v>
      </c>
      <c r="Y211" s="7">
        <f t="shared" si="514"/>
        <v>5147.107138127838</v>
      </c>
      <c r="Z211" s="7">
        <f t="shared" si="514"/>
        <v>43002.785673744285</v>
      </c>
      <c r="AA211" s="7">
        <f t="shared" si="514"/>
        <v>22561.737433333343</v>
      </c>
      <c r="AB211" s="7">
        <f t="shared" si="514"/>
        <v>22829.730288812782</v>
      </c>
      <c r="AC211" s="19">
        <f t="shared" si="514"/>
        <v>182989.47774885839</v>
      </c>
      <c r="AD211" s="7">
        <f t="shared" si="514"/>
        <v>73785.131887760275</v>
      </c>
      <c r="AE211" s="7">
        <f>AE195+AE201+AE209</f>
        <v>35260.659334931494</v>
      </c>
      <c r="AF211" s="7">
        <f t="shared" ref="AF211:AP211" si="515">AF195+AF201+AF209</f>
        <v>17026.267541006891</v>
      </c>
      <c r="AG211" s="7">
        <f t="shared" si="515"/>
        <v>83997.371028627822</v>
      </c>
      <c r="AH211" s="7">
        <f t="shared" si="515"/>
        <v>2647.4753305936247</v>
      </c>
      <c r="AI211" s="7">
        <f t="shared" si="515"/>
        <v>26003.609272970352</v>
      </c>
      <c r="AJ211" s="7">
        <f t="shared" si="515"/>
        <v>104080.4252238333</v>
      </c>
      <c r="AK211" s="7">
        <f t="shared" si="515"/>
        <v>70847.781717579914</v>
      </c>
      <c r="AL211" s="7">
        <f t="shared" si="515"/>
        <v>37863.72554009359</v>
      </c>
      <c r="AM211" s="7">
        <f t="shared" si="515"/>
        <v>109290.62904506631</v>
      </c>
      <c r="AN211" s="7">
        <f t="shared" si="515"/>
        <v>66776.039083333351</v>
      </c>
      <c r="AO211" s="7">
        <f t="shared" si="515"/>
        <v>25236.736792833246</v>
      </c>
      <c r="AP211" s="19">
        <f t="shared" si="515"/>
        <v>652815.85179863009</v>
      </c>
    </row>
    <row r="212" spans="2:42" x14ac:dyDescent="0.3">
      <c r="C212" s="19"/>
      <c r="P212" s="19"/>
      <c r="AC212" s="19"/>
      <c r="AP212" s="19"/>
    </row>
    <row r="213" spans="2:42" x14ac:dyDescent="0.3">
      <c r="B213" s="2" t="s">
        <v>306</v>
      </c>
      <c r="C213" s="21">
        <v>0</v>
      </c>
      <c r="D213" s="12">
        <f>C215</f>
        <v>5000</v>
      </c>
      <c r="E213" s="12">
        <f t="shared" ref="E213:O213" si="516">D215</f>
        <v>-3416.7029223744285</v>
      </c>
      <c r="F213" s="12">
        <f t="shared" si="516"/>
        <v>-9870.0031050228317</v>
      </c>
      <c r="G213" s="12">
        <f t="shared" si="516"/>
        <v>-9406.3389041095943</v>
      </c>
      <c r="H213" s="12">
        <f t="shared" si="516"/>
        <v>-4158.6240182648435</v>
      </c>
      <c r="I213" s="12">
        <f t="shared" si="516"/>
        <v>-6520.4173515981784</v>
      </c>
      <c r="J213" s="12">
        <f t="shared" si="516"/>
        <v>-4213.0887671232922</v>
      </c>
      <c r="K213" s="12">
        <f t="shared" si="516"/>
        <v>-16975.931004566221</v>
      </c>
      <c r="L213" s="12">
        <f t="shared" si="516"/>
        <v>-37704.814337899552</v>
      </c>
      <c r="M213" s="12">
        <f t="shared" si="516"/>
        <v>-55190.546164383566</v>
      </c>
      <c r="N213" s="12">
        <f t="shared" si="516"/>
        <v>-51085.570867579925</v>
      </c>
      <c r="O213" s="12">
        <f t="shared" si="516"/>
        <v>-55463.234200913255</v>
      </c>
      <c r="P213" s="21">
        <f>C215</f>
        <v>5000</v>
      </c>
      <c r="Q213" s="12">
        <f>O215</f>
        <v>-54579.70054794522</v>
      </c>
      <c r="R213" s="12">
        <f t="shared" ref="R213" si="517">Q215</f>
        <v>-34547.69486598175</v>
      </c>
      <c r="S213" s="12">
        <f t="shared" ref="S213:AA213" si="518">R215</f>
        <v>-29605.127698401855</v>
      </c>
      <c r="T213" s="12">
        <f t="shared" si="518"/>
        <v>-27382.341784931552</v>
      </c>
      <c r="U213" s="12">
        <f t="shared" si="518"/>
        <v>1510.5320477168534</v>
      </c>
      <c r="V213" s="12">
        <f t="shared" si="518"/>
        <v>-11798.721660502328</v>
      </c>
      <c r="W213" s="12">
        <f t="shared" si="518"/>
        <v>-12978.826417351627</v>
      </c>
      <c r="X213" s="12">
        <f t="shared" si="518"/>
        <v>16514.290032648372</v>
      </c>
      <c r="Y213" s="12">
        <f t="shared" si="518"/>
        <v>34868.416666894955</v>
      </c>
      <c r="Z213" s="12">
        <f t="shared" si="518"/>
        <v>40015.523805022793</v>
      </c>
      <c r="AA213" s="12">
        <f t="shared" si="518"/>
        <v>83018.309478767071</v>
      </c>
      <c r="AB213" s="12">
        <f>AA215</f>
        <v>105580.04691210041</v>
      </c>
      <c r="AC213" s="21">
        <f>P215</f>
        <v>-54579.70054794522</v>
      </c>
      <c r="AD213" s="12">
        <f>AB215</f>
        <v>128409.7772009132</v>
      </c>
      <c r="AE213" s="12">
        <f t="shared" ref="AE213:AN213" si="519">AD215</f>
        <v>202194.90908867348</v>
      </c>
      <c r="AF213" s="12">
        <f t="shared" si="519"/>
        <v>237455.56842360497</v>
      </c>
      <c r="AG213" s="12">
        <f t="shared" si="519"/>
        <v>254481.83596461185</v>
      </c>
      <c r="AH213" s="12">
        <f t="shared" si="519"/>
        <v>338479.2069932397</v>
      </c>
      <c r="AI213" s="12">
        <f t="shared" si="519"/>
        <v>341126.68232383335</v>
      </c>
      <c r="AJ213" s="12">
        <f t="shared" si="519"/>
        <v>367130.2915968037</v>
      </c>
      <c r="AK213" s="12">
        <f t="shared" si="519"/>
        <v>471210.716820637</v>
      </c>
      <c r="AL213" s="12">
        <f t="shared" si="519"/>
        <v>542058.49853821693</v>
      </c>
      <c r="AM213" s="12">
        <f t="shared" si="519"/>
        <v>579922.22407831054</v>
      </c>
      <c r="AN213" s="12">
        <f t="shared" si="519"/>
        <v>689212.85312337684</v>
      </c>
      <c r="AO213" s="12">
        <f>AN215</f>
        <v>755988.89220671018</v>
      </c>
      <c r="AP213" s="21">
        <f>AC215</f>
        <v>128409.77720091317</v>
      </c>
    </row>
    <row r="214" spans="2:42" x14ac:dyDescent="0.3">
      <c r="B214" t="s">
        <v>305</v>
      </c>
      <c r="C214" s="19">
        <f>C211</f>
        <v>5000</v>
      </c>
      <c r="D214" s="7">
        <f>D211</f>
        <v>-8416.7029223744285</v>
      </c>
      <c r="E214" s="7">
        <f t="shared" ref="E214:Q214" si="520">E211</f>
        <v>-6453.3001826484024</v>
      </c>
      <c r="F214" s="7">
        <f t="shared" si="520"/>
        <v>463.66420091323653</v>
      </c>
      <c r="G214" s="7">
        <f t="shared" si="520"/>
        <v>5247.7148858447508</v>
      </c>
      <c r="H214" s="7">
        <f t="shared" si="520"/>
        <v>-2361.7933333333344</v>
      </c>
      <c r="I214" s="7">
        <f t="shared" si="520"/>
        <v>2307.3285844748862</v>
      </c>
      <c r="J214" s="7">
        <f t="shared" si="520"/>
        <v>-12762.84223744293</v>
      </c>
      <c r="K214" s="7">
        <f t="shared" si="520"/>
        <v>-20728.883333333331</v>
      </c>
      <c r="L214" s="7">
        <f t="shared" si="520"/>
        <v>-17485.731826484014</v>
      </c>
      <c r="M214" s="7">
        <f t="shared" si="520"/>
        <v>4104.9752968036428</v>
      </c>
      <c r="N214" s="7">
        <f t="shared" si="520"/>
        <v>-4377.6633333333339</v>
      </c>
      <c r="O214" s="7">
        <f t="shared" si="520"/>
        <v>883.53365296803895</v>
      </c>
      <c r="P214" s="19">
        <f t="shared" si="520"/>
        <v>-59579.70054794522</v>
      </c>
      <c r="Q214" s="7">
        <f t="shared" si="520"/>
        <v>20032.00568196347</v>
      </c>
      <c r="R214" s="7">
        <f t="shared" ref="R214" si="521">R211</f>
        <v>4942.5671675798931</v>
      </c>
      <c r="S214" s="7">
        <f t="shared" ref="S214" si="522">S211</f>
        <v>2222.7859134703031</v>
      </c>
      <c r="T214" s="7">
        <f t="shared" ref="T214:AF214" si="523">T211</f>
        <v>28892.873832648405</v>
      </c>
      <c r="U214" s="7">
        <f t="shared" si="523"/>
        <v>-13309.253708219181</v>
      </c>
      <c r="V214" s="7">
        <f t="shared" si="523"/>
        <v>-1180.1047568492995</v>
      </c>
      <c r="W214" s="7">
        <f t="shared" si="523"/>
        <v>29493.116449999998</v>
      </c>
      <c r="X214" s="7">
        <f t="shared" si="523"/>
        <v>18354.126634246582</v>
      </c>
      <c r="Y214" s="7">
        <f t="shared" si="523"/>
        <v>5147.107138127838</v>
      </c>
      <c r="Z214" s="7">
        <f t="shared" si="523"/>
        <v>43002.785673744285</v>
      </c>
      <c r="AA214" s="7">
        <f t="shared" si="523"/>
        <v>22561.737433333343</v>
      </c>
      <c r="AB214" s="7">
        <f t="shared" si="523"/>
        <v>22829.730288812782</v>
      </c>
      <c r="AC214" s="19">
        <f t="shared" si="523"/>
        <v>182989.47774885839</v>
      </c>
      <c r="AD214" s="7">
        <f t="shared" si="523"/>
        <v>73785.131887760275</v>
      </c>
      <c r="AE214" s="7">
        <f t="shared" si="523"/>
        <v>35260.659334931494</v>
      </c>
      <c r="AF214" s="7">
        <f t="shared" si="523"/>
        <v>17026.267541006891</v>
      </c>
      <c r="AG214" s="7">
        <f t="shared" ref="AG214:AP214" si="524">AG211</f>
        <v>83997.371028627822</v>
      </c>
      <c r="AH214" s="7">
        <f t="shared" si="524"/>
        <v>2647.4753305936247</v>
      </c>
      <c r="AI214" s="7">
        <f t="shared" si="524"/>
        <v>26003.609272970352</v>
      </c>
      <c r="AJ214" s="7">
        <f t="shared" si="524"/>
        <v>104080.4252238333</v>
      </c>
      <c r="AK214" s="7">
        <f t="shared" si="524"/>
        <v>70847.781717579914</v>
      </c>
      <c r="AL214" s="7">
        <f t="shared" si="524"/>
        <v>37863.72554009359</v>
      </c>
      <c r="AM214" s="7">
        <f t="shared" si="524"/>
        <v>109290.62904506631</v>
      </c>
      <c r="AN214" s="7">
        <f t="shared" si="524"/>
        <v>66776.039083333351</v>
      </c>
      <c r="AO214" s="7">
        <f t="shared" si="524"/>
        <v>25236.736792833246</v>
      </c>
      <c r="AP214" s="19">
        <f t="shared" si="524"/>
        <v>652815.85179863009</v>
      </c>
    </row>
    <row r="215" spans="2:42" x14ac:dyDescent="0.3">
      <c r="B215" s="2" t="s">
        <v>307</v>
      </c>
      <c r="C215" s="21">
        <f>C213+C214</f>
        <v>5000</v>
      </c>
      <c r="D215" s="12">
        <f>D213+D214</f>
        <v>-3416.7029223744285</v>
      </c>
      <c r="E215" s="12">
        <f t="shared" ref="E215:P215" si="525">E213+E214</f>
        <v>-9870.0031050228317</v>
      </c>
      <c r="F215" s="12">
        <f t="shared" si="525"/>
        <v>-9406.3389041095943</v>
      </c>
      <c r="G215" s="12">
        <f t="shared" si="525"/>
        <v>-4158.6240182648435</v>
      </c>
      <c r="H215" s="12">
        <f t="shared" si="525"/>
        <v>-6520.4173515981784</v>
      </c>
      <c r="I215" s="12">
        <f t="shared" si="525"/>
        <v>-4213.0887671232922</v>
      </c>
      <c r="J215" s="12">
        <f t="shared" si="525"/>
        <v>-16975.931004566221</v>
      </c>
      <c r="K215" s="12">
        <f t="shared" si="525"/>
        <v>-37704.814337899552</v>
      </c>
      <c r="L215" s="12">
        <f t="shared" si="525"/>
        <v>-55190.546164383566</v>
      </c>
      <c r="M215" s="12">
        <f t="shared" si="525"/>
        <v>-51085.570867579925</v>
      </c>
      <c r="N215" s="12">
        <f t="shared" si="525"/>
        <v>-55463.234200913255</v>
      </c>
      <c r="O215" s="12">
        <f t="shared" si="525"/>
        <v>-54579.70054794522</v>
      </c>
      <c r="P215" s="21">
        <f t="shared" si="525"/>
        <v>-54579.70054794522</v>
      </c>
      <c r="Q215" s="12">
        <f>Q213+Q214</f>
        <v>-34547.69486598175</v>
      </c>
      <c r="R215" s="12">
        <f t="shared" ref="R215" si="526">R213+R214</f>
        <v>-29605.127698401855</v>
      </c>
      <c r="S215" s="12">
        <f t="shared" ref="S215:AC215" si="527">S213+S214</f>
        <v>-27382.341784931552</v>
      </c>
      <c r="T215" s="12">
        <f t="shared" si="527"/>
        <v>1510.5320477168534</v>
      </c>
      <c r="U215" s="12">
        <f t="shared" si="527"/>
        <v>-11798.721660502328</v>
      </c>
      <c r="V215" s="12">
        <f t="shared" si="527"/>
        <v>-12978.826417351627</v>
      </c>
      <c r="W215" s="12">
        <f t="shared" si="527"/>
        <v>16514.290032648372</v>
      </c>
      <c r="X215" s="12">
        <f t="shared" si="527"/>
        <v>34868.416666894955</v>
      </c>
      <c r="Y215" s="12">
        <f t="shared" si="527"/>
        <v>40015.523805022793</v>
      </c>
      <c r="Z215" s="12">
        <f t="shared" si="527"/>
        <v>83018.309478767071</v>
      </c>
      <c r="AA215" s="12">
        <f t="shared" si="527"/>
        <v>105580.04691210041</v>
      </c>
      <c r="AB215" s="12">
        <f t="shared" si="527"/>
        <v>128409.7772009132</v>
      </c>
      <c r="AC215" s="21">
        <f t="shared" si="527"/>
        <v>128409.77720091317</v>
      </c>
      <c r="AD215" s="12">
        <f>AD213+AD214</f>
        <v>202194.90908867348</v>
      </c>
      <c r="AE215" s="12">
        <f t="shared" ref="AE215:AP215" si="528">AE213+AE214</f>
        <v>237455.56842360497</v>
      </c>
      <c r="AF215" s="12">
        <f t="shared" si="528"/>
        <v>254481.83596461185</v>
      </c>
      <c r="AG215" s="12">
        <f t="shared" si="528"/>
        <v>338479.2069932397</v>
      </c>
      <c r="AH215" s="12">
        <f t="shared" si="528"/>
        <v>341126.68232383335</v>
      </c>
      <c r="AI215" s="12">
        <f t="shared" si="528"/>
        <v>367130.2915968037</v>
      </c>
      <c r="AJ215" s="12">
        <f t="shared" si="528"/>
        <v>471210.716820637</v>
      </c>
      <c r="AK215" s="12">
        <f t="shared" si="528"/>
        <v>542058.49853821693</v>
      </c>
      <c r="AL215" s="12">
        <f t="shared" si="528"/>
        <v>579922.22407831054</v>
      </c>
      <c r="AM215" s="12">
        <f t="shared" si="528"/>
        <v>689212.85312337684</v>
      </c>
      <c r="AN215" s="12">
        <f t="shared" si="528"/>
        <v>755988.89220671018</v>
      </c>
      <c r="AO215" s="12">
        <f t="shared" si="528"/>
        <v>781225.62899954338</v>
      </c>
      <c r="AP215" s="21">
        <f t="shared" si="528"/>
        <v>781225.62899954326</v>
      </c>
    </row>
    <row r="216" spans="2:42" x14ac:dyDescent="0.3">
      <c r="C216" s="19"/>
      <c r="P216" s="19"/>
      <c r="AC216" s="19"/>
      <c r="AP216" s="19"/>
    </row>
    <row r="217" spans="2:42" x14ac:dyDescent="0.3">
      <c r="C217" s="19"/>
      <c r="P217" s="19"/>
      <c r="AC217" s="19"/>
      <c r="AP217" s="19"/>
    </row>
    <row r="218" spans="2:42" x14ac:dyDescent="0.3">
      <c r="C218" s="19"/>
      <c r="P218" s="19"/>
      <c r="AC218" s="19"/>
      <c r="AP218" s="19"/>
    </row>
    <row r="219" spans="2:42" x14ac:dyDescent="0.3">
      <c r="B219" t="s">
        <v>377</v>
      </c>
      <c r="C219" s="19"/>
      <c r="D219" s="7">
        <f>SUM(D73:D75)</f>
        <v>0</v>
      </c>
      <c r="E219" s="7">
        <f t="shared" ref="E219:O219" si="529">SUM(E73:E75)</f>
        <v>0</v>
      </c>
      <c r="F219" s="7">
        <f t="shared" si="529"/>
        <v>0</v>
      </c>
      <c r="G219" s="7">
        <f t="shared" si="529"/>
        <v>6750</v>
      </c>
      <c r="H219" s="7">
        <f t="shared" si="529"/>
        <v>6750</v>
      </c>
      <c r="I219" s="7">
        <f t="shared" si="529"/>
        <v>6750</v>
      </c>
      <c r="J219" s="7">
        <f t="shared" si="529"/>
        <v>30500</v>
      </c>
      <c r="K219" s="7">
        <f t="shared" si="529"/>
        <v>30500</v>
      </c>
      <c r="L219" s="7">
        <f t="shared" si="529"/>
        <v>30500</v>
      </c>
      <c r="M219" s="7">
        <f t="shared" si="529"/>
        <v>50750</v>
      </c>
      <c r="N219" s="7">
        <f t="shared" si="529"/>
        <v>50750</v>
      </c>
      <c r="O219" s="7">
        <f t="shared" si="529"/>
        <v>50750</v>
      </c>
      <c r="P219" s="19"/>
      <c r="Q219" s="7">
        <f>SUM(Q73:Q75)</f>
        <v>81637.5</v>
      </c>
      <c r="R219" s="7">
        <f t="shared" ref="R219:AB219" si="530">SUM(R73:R75)</f>
        <v>81637.5</v>
      </c>
      <c r="S219" s="7">
        <f t="shared" si="530"/>
        <v>88725</v>
      </c>
      <c r="T219" s="7">
        <f t="shared" si="530"/>
        <v>106575</v>
      </c>
      <c r="U219" s="7">
        <f t="shared" si="530"/>
        <v>113662.5</v>
      </c>
      <c r="V219" s="7">
        <f t="shared" si="530"/>
        <v>127837.5</v>
      </c>
      <c r="W219" s="7">
        <f t="shared" si="530"/>
        <v>127837.5</v>
      </c>
      <c r="X219" s="7">
        <f t="shared" si="530"/>
        <v>127837.5</v>
      </c>
      <c r="Y219" s="7">
        <f t="shared" si="530"/>
        <v>134925</v>
      </c>
      <c r="Z219" s="7">
        <f t="shared" si="530"/>
        <v>149100</v>
      </c>
      <c r="AA219" s="7">
        <f t="shared" si="530"/>
        <v>149100</v>
      </c>
      <c r="AB219" s="7">
        <f t="shared" si="530"/>
        <v>149100</v>
      </c>
      <c r="AC219" s="19"/>
      <c r="AD219" s="7">
        <f>SUM(AD73:AD75)</f>
        <v>219948.75</v>
      </c>
      <c r="AE219" s="7">
        <f t="shared" ref="AE219:AO219" si="531">SUM(AE73:AE75)</f>
        <v>219948.75</v>
      </c>
      <c r="AF219" s="7">
        <f t="shared" si="531"/>
        <v>227390.625</v>
      </c>
      <c r="AG219" s="7">
        <f t="shared" si="531"/>
        <v>246133.125</v>
      </c>
      <c r="AH219" s="7">
        <f t="shared" si="531"/>
        <v>253575</v>
      </c>
      <c r="AI219" s="7">
        <f t="shared" si="531"/>
        <v>268458.75</v>
      </c>
      <c r="AJ219" s="7">
        <f t="shared" si="531"/>
        <v>268458.75</v>
      </c>
      <c r="AK219" s="7">
        <f t="shared" si="531"/>
        <v>268458.75</v>
      </c>
      <c r="AL219" s="7">
        <f t="shared" si="531"/>
        <v>275900.625</v>
      </c>
      <c r="AM219" s="7">
        <f t="shared" si="531"/>
        <v>290784.375</v>
      </c>
      <c r="AN219" s="7">
        <f t="shared" si="531"/>
        <v>290784.375</v>
      </c>
      <c r="AO219" s="7">
        <f t="shared" si="531"/>
        <v>290784.375</v>
      </c>
      <c r="AP219" s="19"/>
    </row>
    <row r="220" spans="2:42" x14ac:dyDescent="0.3">
      <c r="B220" t="s">
        <v>239</v>
      </c>
      <c r="C220" s="19"/>
      <c r="D220" s="6"/>
      <c r="E220" s="6"/>
      <c r="F220" s="6"/>
      <c r="G220" s="6">
        <f t="shared" ref="G220:AB220" si="532">SUM(G73:G75)/SUM(G7:G9)</f>
        <v>6750</v>
      </c>
      <c r="H220" s="6">
        <f t="shared" si="532"/>
        <v>6750</v>
      </c>
      <c r="I220" s="6">
        <f t="shared" si="532"/>
        <v>6750</v>
      </c>
      <c r="J220" s="6">
        <f t="shared" si="532"/>
        <v>10166.666666666666</v>
      </c>
      <c r="K220" s="6">
        <f t="shared" si="532"/>
        <v>10166.666666666666</v>
      </c>
      <c r="L220" s="6">
        <f t="shared" si="532"/>
        <v>10166.666666666666</v>
      </c>
      <c r="M220" s="6">
        <f t="shared" si="532"/>
        <v>11277.777777777777</v>
      </c>
      <c r="N220" s="6">
        <f t="shared" si="532"/>
        <v>11277.777777777777</v>
      </c>
      <c r="O220" s="6">
        <f t="shared" si="532"/>
        <v>11277.777777777777</v>
      </c>
      <c r="P220" s="19">
        <f t="shared" si="532"/>
        <v>124235.29411764706</v>
      </c>
      <c r="Q220" s="6">
        <f t="shared" si="532"/>
        <v>11662.5</v>
      </c>
      <c r="R220" s="6">
        <f t="shared" ref="R220" si="533">SUM(R73:R75)/SUM(R7:R9)</f>
        <v>11662.5</v>
      </c>
      <c r="S220" s="6">
        <f t="shared" si="532"/>
        <v>11090.625</v>
      </c>
      <c r="T220" s="6">
        <f t="shared" si="532"/>
        <v>11841.666666666666</v>
      </c>
      <c r="U220" s="6">
        <f t="shared" si="532"/>
        <v>11366.25</v>
      </c>
      <c r="V220" s="6">
        <f t="shared" si="532"/>
        <v>12175</v>
      </c>
      <c r="W220" s="6">
        <f t="shared" si="532"/>
        <v>12175</v>
      </c>
      <c r="X220" s="6">
        <f t="shared" si="532"/>
        <v>12175</v>
      </c>
      <c r="Y220" s="6">
        <f t="shared" si="532"/>
        <v>11732.608695652174</v>
      </c>
      <c r="Z220" s="6">
        <f t="shared" si="532"/>
        <v>12425</v>
      </c>
      <c r="AA220" s="6">
        <f t="shared" si="532"/>
        <v>12425</v>
      </c>
      <c r="AB220" s="6">
        <f t="shared" si="532"/>
        <v>12425</v>
      </c>
      <c r="AC220" s="19">
        <f t="shared" ref="AC220:AO220" si="534">SUM(AC73:AC75)/SUM(AC7:AC9)</f>
        <v>143797.50000000003</v>
      </c>
      <c r="AD220" s="6">
        <f t="shared" si="534"/>
        <v>13746.796875</v>
      </c>
      <c r="AE220" s="6">
        <f t="shared" si="534"/>
        <v>13746.796875</v>
      </c>
      <c r="AF220" s="6">
        <f t="shared" si="534"/>
        <v>13375.919117647059</v>
      </c>
      <c r="AG220" s="6">
        <f t="shared" si="534"/>
        <v>13674.0625</v>
      </c>
      <c r="AH220" s="6">
        <f t="shared" si="534"/>
        <v>13346.052631578947</v>
      </c>
      <c r="AI220" s="6">
        <f t="shared" si="534"/>
        <v>13767.115384615385</v>
      </c>
      <c r="AJ220" s="6">
        <f t="shared" si="534"/>
        <v>13767.115384615385</v>
      </c>
      <c r="AK220" s="6">
        <f t="shared" si="534"/>
        <v>13767.115384615385</v>
      </c>
      <c r="AL220" s="6">
        <f t="shared" si="534"/>
        <v>13458.567073170732</v>
      </c>
      <c r="AM220" s="6">
        <f t="shared" si="534"/>
        <v>13846.875</v>
      </c>
      <c r="AN220" s="6">
        <f t="shared" si="534"/>
        <v>13846.875</v>
      </c>
      <c r="AO220" s="6">
        <f t="shared" si="534"/>
        <v>13846.875</v>
      </c>
      <c r="AP220" s="19">
        <f t="shared" ref="AP220" si="535">SUM(AP73:AP75)/SUM(AP7:AP9)</f>
        <v>164243.48684210525</v>
      </c>
    </row>
    <row r="221" spans="2:42" x14ac:dyDescent="0.3">
      <c r="B221" t="s">
        <v>376</v>
      </c>
      <c r="D221" s="7">
        <f>D96/SUM(D20:D28)</f>
        <v>11610.938888888888</v>
      </c>
      <c r="E221" s="7">
        <f t="shared" ref="E221:O221" si="536">E96/SUM(E20:E28)</f>
        <v>11610.938888888888</v>
      </c>
      <c r="F221" s="7">
        <f t="shared" si="536"/>
        <v>11610.938888888888</v>
      </c>
      <c r="G221" s="7">
        <f t="shared" si="536"/>
        <v>11610.938888888888</v>
      </c>
      <c r="H221" s="7">
        <f t="shared" si="536"/>
        <v>11610.938888888888</v>
      </c>
      <c r="I221" s="7">
        <f t="shared" si="536"/>
        <v>11610.938888888888</v>
      </c>
      <c r="J221" s="7">
        <f t="shared" si="536"/>
        <v>13410.067708333334</v>
      </c>
      <c r="K221" s="7">
        <f t="shared" si="536"/>
        <v>13410.067708333334</v>
      </c>
      <c r="L221" s="7">
        <f t="shared" si="536"/>
        <v>12036.578070175439</v>
      </c>
      <c r="M221" s="7">
        <f t="shared" si="536"/>
        <v>9147.7993333333325</v>
      </c>
      <c r="N221" s="7">
        <f t="shared" si="536"/>
        <v>9147.7993333333325</v>
      </c>
      <c r="O221" s="7">
        <f t="shared" si="536"/>
        <v>9147.7993333333325</v>
      </c>
      <c r="P221" s="7">
        <f t="shared" ref="P221" si="537">P96/SUM(P20:P28)</f>
        <v>130510.80740740742</v>
      </c>
      <c r="Q221" s="7">
        <f>Q96/SUM(Q20:Q28)</f>
        <v>9779.7092587064672</v>
      </c>
      <c r="R221" s="7">
        <f t="shared" ref="R221:AC221" si="538">R96/SUM(R20:R28)</f>
        <v>9779.7092587064672</v>
      </c>
      <c r="S221" s="7">
        <f t="shared" si="538"/>
        <v>9779.7092587064672</v>
      </c>
      <c r="T221" s="7">
        <f t="shared" si="538"/>
        <v>9772.5775037878793</v>
      </c>
      <c r="U221" s="7">
        <f t="shared" si="538"/>
        <v>9812.1552566666651</v>
      </c>
      <c r="V221" s="7">
        <f t="shared" si="538"/>
        <v>9812.1552566666651</v>
      </c>
      <c r="W221" s="7">
        <f t="shared" si="538"/>
        <v>9812.1552566666651</v>
      </c>
      <c r="X221" s="7">
        <f t="shared" si="538"/>
        <v>9812.1552566666651</v>
      </c>
      <c r="Y221" s="7">
        <f t="shared" si="538"/>
        <v>9858.1587483660132</v>
      </c>
      <c r="Z221" s="7">
        <f t="shared" si="538"/>
        <v>9712.6593065476191</v>
      </c>
      <c r="AA221" s="7">
        <f t="shared" si="538"/>
        <v>9712.6593065476191</v>
      </c>
      <c r="AB221" s="7">
        <f t="shared" si="538"/>
        <v>9712.6593065476191</v>
      </c>
      <c r="AC221" s="7">
        <f t="shared" si="538"/>
        <v>117333.34023070095</v>
      </c>
      <c r="AD221" s="7">
        <f>AD96/SUM(AD20:AD28)</f>
        <v>9868.3663122362868</v>
      </c>
      <c r="AE221" s="7">
        <f t="shared" ref="AE221:AP221" si="539">AE96/SUM(AE20:AE28)</f>
        <v>9868.3663122362868</v>
      </c>
      <c r="AF221" s="7">
        <f t="shared" si="539"/>
        <v>9868.3663122362868</v>
      </c>
      <c r="AG221" s="7">
        <f t="shared" si="539"/>
        <v>9893.1467528089888</v>
      </c>
      <c r="AH221" s="7">
        <f t="shared" si="539"/>
        <v>9893.1467528089888</v>
      </c>
      <c r="AI221" s="7">
        <f t="shared" si="539"/>
        <v>9893.1467528089888</v>
      </c>
      <c r="AJ221" s="7">
        <f t="shared" si="539"/>
        <v>9893.1467528089888</v>
      </c>
      <c r="AK221" s="7">
        <f t="shared" si="539"/>
        <v>9893.1467528089888</v>
      </c>
      <c r="AL221" s="7">
        <f t="shared" si="539"/>
        <v>9893.1467528089888</v>
      </c>
      <c r="AM221" s="7">
        <f t="shared" si="539"/>
        <v>10013.122566326532</v>
      </c>
      <c r="AN221" s="7">
        <f t="shared" si="539"/>
        <v>10013.122566326532</v>
      </c>
      <c r="AO221" s="7">
        <f t="shared" si="539"/>
        <v>10013.122566326532</v>
      </c>
      <c r="AP221" s="7">
        <f t="shared" si="539"/>
        <v>119049.02779154931</v>
      </c>
    </row>
    <row r="222" spans="2:42" x14ac:dyDescent="0.3">
      <c r="B222" t="s">
        <v>375</v>
      </c>
      <c r="D222" s="6">
        <f>D79/SUM(D20:D28)</f>
        <v>16666.666666666664</v>
      </c>
      <c r="E222" s="6">
        <f t="shared" ref="E222:O222" si="540">E79/SUM(E20:E28)</f>
        <v>16666.666666666664</v>
      </c>
      <c r="F222" s="6">
        <f t="shared" si="540"/>
        <v>24999.999999999996</v>
      </c>
      <c r="G222" s="6">
        <f t="shared" si="540"/>
        <v>18124.999999999996</v>
      </c>
      <c r="H222" s="6">
        <f t="shared" si="540"/>
        <v>18124.999999999996</v>
      </c>
      <c r="I222" s="6">
        <f t="shared" si="540"/>
        <v>28541.666666666664</v>
      </c>
      <c r="J222" s="6">
        <f t="shared" si="540"/>
        <v>10312.5</v>
      </c>
      <c r="K222" s="6">
        <f t="shared" si="540"/>
        <v>10312.5</v>
      </c>
      <c r="L222" s="6">
        <f t="shared" si="540"/>
        <v>14605.263157894737</v>
      </c>
      <c r="M222" s="6">
        <f t="shared" si="540"/>
        <v>10650</v>
      </c>
      <c r="N222" s="6">
        <f t="shared" si="540"/>
        <v>10650</v>
      </c>
      <c r="O222" s="6">
        <f t="shared" si="540"/>
        <v>17150</v>
      </c>
      <c r="P222" s="6">
        <f t="shared" ref="P222" si="541">P79/SUM(P20:P28)</f>
        <v>170925.92592592596</v>
      </c>
      <c r="Q222" s="6">
        <f>Q79/SUM(Q20:Q28)</f>
        <v>12930.97014925373</v>
      </c>
      <c r="R222" s="6">
        <f t="shared" ref="R222:AC222" si="542">R79/SUM(R20:R28)</f>
        <v>14423.507462686564</v>
      </c>
      <c r="S222" s="6">
        <f t="shared" si="542"/>
        <v>16227.611940298504</v>
      </c>
      <c r="T222" s="6">
        <f t="shared" si="542"/>
        <v>13815.340909090908</v>
      </c>
      <c r="U222" s="6">
        <f t="shared" si="542"/>
        <v>13116.249999999998</v>
      </c>
      <c r="V222" s="6">
        <f t="shared" si="542"/>
        <v>13283.749999999998</v>
      </c>
      <c r="W222" s="6">
        <f t="shared" si="542"/>
        <v>13283.749999999998</v>
      </c>
      <c r="X222" s="6">
        <f t="shared" si="542"/>
        <v>14283.749999999998</v>
      </c>
      <c r="Y222" s="6">
        <f t="shared" si="542"/>
        <v>14943.62745098039</v>
      </c>
      <c r="Z222" s="6">
        <f t="shared" si="542"/>
        <v>13758.928571428571</v>
      </c>
      <c r="AA222" s="6">
        <f t="shared" si="542"/>
        <v>13758.928571428571</v>
      </c>
      <c r="AB222" s="6">
        <f t="shared" si="542"/>
        <v>19116.071428571428</v>
      </c>
      <c r="AC222" s="6">
        <f t="shared" si="542"/>
        <v>173342.50221827859</v>
      </c>
      <c r="AD222" s="6">
        <f>AD79/SUM(AD20:AD28)</f>
        <v>14553.718354430379</v>
      </c>
      <c r="AE222" s="6">
        <f t="shared" ref="AE222:AP222" si="543">AE79/SUM(AE20:AE28)</f>
        <v>15186.629746835442</v>
      </c>
      <c r="AF222" s="6">
        <f t="shared" si="543"/>
        <v>15974.090189873417</v>
      </c>
      <c r="AG222" s="6">
        <f t="shared" si="543"/>
        <v>14951.299157303371</v>
      </c>
      <c r="AH222" s="6">
        <f t="shared" si="543"/>
        <v>15509.831460674157</v>
      </c>
      <c r="AI222" s="6">
        <f t="shared" si="543"/>
        <v>15643.75</v>
      </c>
      <c r="AJ222" s="6">
        <f t="shared" si="543"/>
        <v>15643.75</v>
      </c>
      <c r="AK222" s="6">
        <f t="shared" si="543"/>
        <v>16205.547752808989</v>
      </c>
      <c r="AL222" s="6">
        <f t="shared" si="543"/>
        <v>16764.080056179773</v>
      </c>
      <c r="AM222" s="6">
        <f t="shared" si="543"/>
        <v>15346.141581632655</v>
      </c>
      <c r="AN222" s="6">
        <f t="shared" si="543"/>
        <v>15346.141581632655</v>
      </c>
      <c r="AO222" s="6">
        <f t="shared" si="543"/>
        <v>15346.141581632655</v>
      </c>
      <c r="AP222" s="6">
        <f t="shared" si="543"/>
        <v>186514.15492957746</v>
      </c>
    </row>
    <row r="223" spans="2:42" x14ac:dyDescent="0.3">
      <c r="B223" t="s">
        <v>379</v>
      </c>
      <c r="D223" s="6" t="e">
        <f>SUM(D73:D75)/SUM(D46:D54)</f>
        <v>#DIV/0!</v>
      </c>
      <c r="E223" s="6" t="e">
        <f t="shared" ref="E223:O223" si="544">SUM(E73:E75)/SUM(E46:E54)</f>
        <v>#DIV/0!</v>
      </c>
      <c r="F223" s="6" t="e">
        <f t="shared" si="544"/>
        <v>#DIV/0!</v>
      </c>
      <c r="G223" s="6">
        <f t="shared" si="544"/>
        <v>105.46875</v>
      </c>
      <c r="H223" s="6">
        <f t="shared" si="544"/>
        <v>105.46875</v>
      </c>
      <c r="I223" s="6">
        <f t="shared" si="544"/>
        <v>105.46875</v>
      </c>
      <c r="J223" s="6">
        <f t="shared" si="544"/>
        <v>107.3943661971831</v>
      </c>
      <c r="K223" s="6">
        <f t="shared" si="544"/>
        <v>107.3943661971831</v>
      </c>
      <c r="L223" s="6">
        <f t="shared" si="544"/>
        <v>107.3943661971831</v>
      </c>
      <c r="M223" s="6">
        <f t="shared" si="544"/>
        <v>105.72916666666667</v>
      </c>
      <c r="N223" s="6">
        <f t="shared" si="544"/>
        <v>105.72916666666667</v>
      </c>
      <c r="O223" s="6">
        <f t="shared" si="544"/>
        <v>105.72916666666667</v>
      </c>
      <c r="Q223" s="6">
        <f>SUM(Q73:Q75)/SUM(Q46:Q54)</f>
        <v>110.32094594594595</v>
      </c>
      <c r="R223" s="6">
        <f t="shared" ref="R223:AB223" si="545">SUM(R73:R75)/SUM(R46:R54)</f>
        <v>110.32094594594595</v>
      </c>
      <c r="S223" s="6">
        <f t="shared" si="545"/>
        <v>110.3544776119403</v>
      </c>
      <c r="T223" s="6">
        <f t="shared" si="545"/>
        <v>111.015625</v>
      </c>
      <c r="U223" s="6">
        <f t="shared" si="545"/>
        <v>110.99853515625</v>
      </c>
      <c r="V223" s="6">
        <f t="shared" si="545"/>
        <v>110.58607266435986</v>
      </c>
      <c r="W223" s="6">
        <f t="shared" si="545"/>
        <v>110.58607266435986</v>
      </c>
      <c r="X223" s="6">
        <f t="shared" si="545"/>
        <v>110.58607266435986</v>
      </c>
      <c r="Y223" s="6">
        <f t="shared" si="545"/>
        <v>110.59426229508196</v>
      </c>
      <c r="Z223" s="6">
        <f t="shared" si="545"/>
        <v>110.2810650887574</v>
      </c>
      <c r="AA223" s="6">
        <f t="shared" si="545"/>
        <v>110.2810650887574</v>
      </c>
      <c r="AB223" s="6">
        <f t="shared" si="545"/>
        <v>110.2810650887574</v>
      </c>
      <c r="AD223" s="6">
        <f>SUM(AD73:AD75)/SUM(AD46:AD54)</f>
        <v>115.7625</v>
      </c>
      <c r="AE223" s="6">
        <f t="shared" ref="AE223:AO223" si="546">SUM(AE73:AE75)/SUM(AE46:AE54)</f>
        <v>115.7625</v>
      </c>
      <c r="AF223" s="6">
        <f t="shared" si="546"/>
        <v>115.77934063136456</v>
      </c>
      <c r="AG223" s="6">
        <f t="shared" si="546"/>
        <v>116.10053066037736</v>
      </c>
      <c r="AH223" s="6">
        <f t="shared" si="546"/>
        <v>116.10576923076923</v>
      </c>
      <c r="AI223" s="6">
        <f t="shared" si="546"/>
        <v>115.91483160621762</v>
      </c>
      <c r="AJ223" s="6">
        <f t="shared" si="546"/>
        <v>115.91483160621762</v>
      </c>
      <c r="AK223" s="6">
        <f t="shared" si="546"/>
        <v>115.91483160621762</v>
      </c>
      <c r="AL223" s="6">
        <f t="shared" si="546"/>
        <v>115.92463235294117</v>
      </c>
      <c r="AM223" s="6">
        <f t="shared" si="546"/>
        <v>115.75811106687898</v>
      </c>
      <c r="AN223" s="6">
        <f t="shared" si="546"/>
        <v>115.75811106687898</v>
      </c>
      <c r="AO223" s="6">
        <f t="shared" si="546"/>
        <v>115.75811106687898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D7C1-2840-4A06-920C-04447369FD72}">
  <dimension ref="B2:N67"/>
  <sheetViews>
    <sheetView topLeftCell="A48" workbookViewId="0">
      <selection activeCell="B64" sqref="B64"/>
    </sheetView>
  </sheetViews>
  <sheetFormatPr defaultRowHeight="14.4" x14ac:dyDescent="0.3"/>
  <cols>
    <col min="2" max="2" width="22.33203125" customWidth="1"/>
  </cols>
  <sheetData>
    <row r="2" spans="2:3" x14ac:dyDescent="0.3">
      <c r="B2" s="2" t="s">
        <v>33</v>
      </c>
      <c r="C2" t="s">
        <v>32</v>
      </c>
    </row>
    <row r="4" spans="2:3" x14ac:dyDescent="0.3">
      <c r="B4" t="s">
        <v>34</v>
      </c>
    </row>
    <row r="5" spans="2:3" x14ac:dyDescent="0.3">
      <c r="B5" t="s">
        <v>35</v>
      </c>
    </row>
    <row r="6" spans="2:3" x14ac:dyDescent="0.3">
      <c r="B6" t="s">
        <v>66</v>
      </c>
    </row>
    <row r="7" spans="2:3" x14ac:dyDescent="0.3">
      <c r="B7" t="s">
        <v>67</v>
      </c>
    </row>
    <row r="8" spans="2:3" x14ac:dyDescent="0.3">
      <c r="B8" t="s">
        <v>240</v>
      </c>
    </row>
    <row r="11" spans="2:3" x14ac:dyDescent="0.3">
      <c r="B11" t="s">
        <v>68</v>
      </c>
    </row>
    <row r="13" spans="2:3" x14ac:dyDescent="0.3">
      <c r="B13" t="s">
        <v>62</v>
      </c>
    </row>
    <row r="14" spans="2:3" x14ac:dyDescent="0.3">
      <c r="B14" t="s">
        <v>61</v>
      </c>
    </row>
    <row r="15" spans="2:3" x14ac:dyDescent="0.3">
      <c r="B15" t="s">
        <v>57</v>
      </c>
    </row>
    <row r="16" spans="2:3" x14ac:dyDescent="0.3">
      <c r="B16" t="s">
        <v>58</v>
      </c>
    </row>
    <row r="17" spans="2:2" x14ac:dyDescent="0.3">
      <c r="B17" t="s">
        <v>59</v>
      </c>
    </row>
    <row r="18" spans="2:2" x14ac:dyDescent="0.3">
      <c r="B18" t="s">
        <v>60</v>
      </c>
    </row>
    <row r="19" spans="2:2" x14ac:dyDescent="0.3">
      <c r="B19" t="s">
        <v>69</v>
      </c>
    </row>
    <row r="21" spans="2:2" x14ac:dyDescent="0.3">
      <c r="B21" t="s">
        <v>380</v>
      </c>
    </row>
    <row r="22" spans="2:2" x14ac:dyDescent="0.3">
      <c r="B22" t="s">
        <v>63</v>
      </c>
    </row>
    <row r="23" spans="2:2" x14ac:dyDescent="0.3">
      <c r="B23" t="s">
        <v>64</v>
      </c>
    </row>
    <row r="24" spans="2:2" x14ac:dyDescent="0.3">
      <c r="B24" t="s">
        <v>70</v>
      </c>
    </row>
    <row r="25" spans="2:2" x14ac:dyDescent="0.3">
      <c r="B25" t="s">
        <v>71</v>
      </c>
    </row>
    <row r="26" spans="2:2" x14ac:dyDescent="0.3">
      <c r="B26" t="s">
        <v>72</v>
      </c>
    </row>
    <row r="27" spans="2:2" x14ac:dyDescent="0.3">
      <c r="B27" t="s">
        <v>73</v>
      </c>
    </row>
    <row r="28" spans="2:2" x14ac:dyDescent="0.3">
      <c r="B28" t="s">
        <v>65</v>
      </c>
    </row>
    <row r="29" spans="2:2" x14ac:dyDescent="0.3">
      <c r="B29" t="s">
        <v>74</v>
      </c>
    </row>
    <row r="31" spans="2:2" x14ac:dyDescent="0.3">
      <c r="B31" t="s">
        <v>75</v>
      </c>
    </row>
    <row r="32" spans="2:2" x14ac:dyDescent="0.3">
      <c r="B32" t="s">
        <v>78</v>
      </c>
    </row>
    <row r="33" spans="2:14" x14ac:dyDescent="0.3">
      <c r="B33" t="s">
        <v>79</v>
      </c>
    </row>
    <row r="34" spans="2:14" x14ac:dyDescent="0.3">
      <c r="B34" t="s">
        <v>80</v>
      </c>
    </row>
    <row r="35" spans="2:14" x14ac:dyDescent="0.3">
      <c r="B35" t="s">
        <v>81</v>
      </c>
    </row>
    <row r="36" spans="2:14" x14ac:dyDescent="0.3">
      <c r="B36" t="s">
        <v>82</v>
      </c>
    </row>
    <row r="38" spans="2:14" x14ac:dyDescent="0.3">
      <c r="B38" t="s">
        <v>76</v>
      </c>
    </row>
    <row r="39" spans="2:14" x14ac:dyDescent="0.3">
      <c r="B39" t="s">
        <v>83</v>
      </c>
      <c r="F39" t="s">
        <v>93</v>
      </c>
      <c r="J39" t="s">
        <v>94</v>
      </c>
      <c r="N39" t="s">
        <v>97</v>
      </c>
    </row>
    <row r="40" spans="2:14" x14ac:dyDescent="0.3">
      <c r="B40" t="s">
        <v>84</v>
      </c>
      <c r="F40" t="s">
        <v>90</v>
      </c>
      <c r="J40" t="s">
        <v>95</v>
      </c>
      <c r="N40" t="s">
        <v>84</v>
      </c>
    </row>
    <row r="41" spans="2:14" x14ac:dyDescent="0.3">
      <c r="B41" t="s">
        <v>88</v>
      </c>
      <c r="F41" t="s">
        <v>91</v>
      </c>
      <c r="J41" t="s">
        <v>96</v>
      </c>
      <c r="N41" t="s">
        <v>98</v>
      </c>
    </row>
    <row r="42" spans="2:14" x14ac:dyDescent="0.3">
      <c r="B42" t="s">
        <v>85</v>
      </c>
      <c r="F42" t="s">
        <v>92</v>
      </c>
      <c r="N42" t="s">
        <v>99</v>
      </c>
    </row>
    <row r="43" spans="2:14" x14ac:dyDescent="0.3">
      <c r="B43" t="s">
        <v>86</v>
      </c>
      <c r="N43" t="s">
        <v>100</v>
      </c>
    </row>
    <row r="44" spans="2:14" x14ac:dyDescent="0.3">
      <c r="B44" t="s">
        <v>87</v>
      </c>
    </row>
    <row r="45" spans="2:14" x14ac:dyDescent="0.3">
      <c r="B45" t="s">
        <v>89</v>
      </c>
    </row>
    <row r="47" spans="2:14" x14ac:dyDescent="0.3">
      <c r="B47" t="s">
        <v>77</v>
      </c>
    </row>
    <row r="49" spans="2:2" x14ac:dyDescent="0.3">
      <c r="B49" t="s">
        <v>381</v>
      </c>
    </row>
    <row r="50" spans="2:2" x14ac:dyDescent="0.3">
      <c r="B50" t="s">
        <v>101</v>
      </c>
    </row>
    <row r="51" spans="2:2" x14ac:dyDescent="0.3">
      <c r="B51" t="s">
        <v>382</v>
      </c>
    </row>
    <row r="54" spans="2:2" x14ac:dyDescent="0.3">
      <c r="B54" t="s">
        <v>103</v>
      </c>
    </row>
    <row r="56" spans="2:2" x14ac:dyDescent="0.3">
      <c r="B56" t="s">
        <v>104</v>
      </c>
    </row>
    <row r="57" spans="2:2" x14ac:dyDescent="0.3">
      <c r="B57" t="s">
        <v>105</v>
      </c>
    </row>
    <row r="58" spans="2:2" x14ac:dyDescent="0.3">
      <c r="B58" t="s">
        <v>106</v>
      </c>
    </row>
    <row r="59" spans="2:2" x14ac:dyDescent="0.3">
      <c r="B59" t="s">
        <v>107</v>
      </c>
    </row>
    <row r="60" spans="2:2" x14ac:dyDescent="0.3">
      <c r="B60" t="s">
        <v>108</v>
      </c>
    </row>
    <row r="61" spans="2:2" x14ac:dyDescent="0.3">
      <c r="B61" t="s">
        <v>109</v>
      </c>
    </row>
    <row r="62" spans="2:2" x14ac:dyDescent="0.3">
      <c r="B62" t="s">
        <v>110</v>
      </c>
    </row>
    <row r="63" spans="2:2" x14ac:dyDescent="0.3">
      <c r="B63" t="s">
        <v>111</v>
      </c>
    </row>
    <row r="64" spans="2:2" x14ac:dyDescent="0.3">
      <c r="B64" t="s">
        <v>383</v>
      </c>
    </row>
    <row r="67" spans="2:2" x14ac:dyDescent="0.3">
      <c r="B67"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3222-93DD-4014-ABBF-69DB3736AF86}">
  <dimension ref="B2:B27"/>
  <sheetViews>
    <sheetView workbookViewId="0">
      <selection activeCell="B11" sqref="B11"/>
    </sheetView>
  </sheetViews>
  <sheetFormatPr defaultRowHeight="14.4" x14ac:dyDescent="0.3"/>
  <cols>
    <col min="2" max="2" width="32.109375" customWidth="1"/>
  </cols>
  <sheetData>
    <row r="2" spans="2:2" x14ac:dyDescent="0.3">
      <c r="B2" s="2" t="s">
        <v>36</v>
      </c>
    </row>
    <row r="4" spans="2:2" x14ac:dyDescent="0.3">
      <c r="B4" t="s">
        <v>37</v>
      </c>
    </row>
    <row r="5" spans="2:2" x14ac:dyDescent="0.3">
      <c r="B5" t="s">
        <v>38</v>
      </c>
    </row>
    <row r="6" spans="2:2" x14ac:dyDescent="0.3">
      <c r="B6" t="s">
        <v>102</v>
      </c>
    </row>
    <row r="7" spans="2:2" x14ac:dyDescent="0.3">
      <c r="B7" t="s">
        <v>50</v>
      </c>
    </row>
    <row r="8" spans="2:2" x14ac:dyDescent="0.3">
      <c r="B8" t="s">
        <v>39</v>
      </c>
    </row>
    <row r="9" spans="2:2" x14ac:dyDescent="0.3">
      <c r="B9" t="s">
        <v>54</v>
      </c>
    </row>
    <row r="10" spans="2:2" x14ac:dyDescent="0.3">
      <c r="B10" t="s">
        <v>44</v>
      </c>
    </row>
    <row r="11" spans="2:2" x14ac:dyDescent="0.3">
      <c r="B11" t="s">
        <v>53</v>
      </c>
    </row>
    <row r="12" spans="2:2" x14ac:dyDescent="0.3">
      <c r="B12" t="s">
        <v>55</v>
      </c>
    </row>
    <row r="13" spans="2:2" x14ac:dyDescent="0.3">
      <c r="B13" t="s">
        <v>51</v>
      </c>
    </row>
    <row r="14" spans="2:2" x14ac:dyDescent="0.3">
      <c r="B14" t="s">
        <v>52</v>
      </c>
    </row>
    <row r="16" spans="2:2" x14ac:dyDescent="0.3">
      <c r="B16" s="2" t="s">
        <v>45</v>
      </c>
    </row>
    <row r="17" spans="2:2" x14ac:dyDescent="0.3">
      <c r="B17" t="s">
        <v>46</v>
      </c>
    </row>
    <row r="18" spans="2:2" x14ac:dyDescent="0.3">
      <c r="B18" t="s">
        <v>56</v>
      </c>
    </row>
    <row r="19" spans="2:2" x14ac:dyDescent="0.3">
      <c r="B19" t="s">
        <v>40</v>
      </c>
    </row>
    <row r="20" spans="2:2" x14ac:dyDescent="0.3">
      <c r="B20" t="s">
        <v>41</v>
      </c>
    </row>
    <row r="21" spans="2:2" x14ac:dyDescent="0.3">
      <c r="B21" t="s">
        <v>47</v>
      </c>
    </row>
    <row r="22" spans="2:2" x14ac:dyDescent="0.3">
      <c r="B22" t="s">
        <v>42</v>
      </c>
    </row>
    <row r="23" spans="2:2" x14ac:dyDescent="0.3">
      <c r="B23" t="s">
        <v>43</v>
      </c>
    </row>
    <row r="24" spans="2:2" x14ac:dyDescent="0.3">
      <c r="B24" t="s">
        <v>48</v>
      </c>
    </row>
    <row r="25" spans="2:2" x14ac:dyDescent="0.3">
      <c r="B25" t="s">
        <v>49</v>
      </c>
    </row>
    <row r="27" spans="2:2" x14ac:dyDescent="0.3">
      <c r="B2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1686-4F2C-432B-9581-DA6665489700}">
  <dimension ref="B2:W75"/>
  <sheetViews>
    <sheetView tabSelected="1" topLeftCell="A7" workbookViewId="0">
      <selection activeCell="C4" sqref="C4"/>
    </sheetView>
  </sheetViews>
  <sheetFormatPr defaultRowHeight="14.4" x14ac:dyDescent="0.3"/>
  <cols>
    <col min="2" max="2" width="29.88671875" customWidth="1"/>
    <col min="10" max="10" width="28.33203125" bestFit="1" customWidth="1"/>
    <col min="18" max="18" width="28.33203125" bestFit="1" customWidth="1"/>
  </cols>
  <sheetData>
    <row r="2" spans="2:23" x14ac:dyDescent="0.3">
      <c r="B2" s="8" t="s">
        <v>113</v>
      </c>
      <c r="J2" s="8" t="s">
        <v>129</v>
      </c>
      <c r="R2" s="8" t="s">
        <v>131</v>
      </c>
    </row>
    <row r="3" spans="2:23" x14ac:dyDescent="0.3">
      <c r="B3" t="s">
        <v>120</v>
      </c>
      <c r="C3" s="13">
        <v>6750</v>
      </c>
      <c r="J3" t="s">
        <v>120</v>
      </c>
      <c r="K3" s="13">
        <v>17000</v>
      </c>
      <c r="R3" t="s">
        <v>120</v>
      </c>
      <c r="S3" s="13">
        <v>27000</v>
      </c>
    </row>
    <row r="4" spans="2:23" x14ac:dyDescent="0.3">
      <c r="B4" t="s">
        <v>114</v>
      </c>
      <c r="C4" t="s">
        <v>368</v>
      </c>
      <c r="J4" t="s">
        <v>130</v>
      </c>
      <c r="K4" t="s">
        <v>369</v>
      </c>
      <c r="R4" t="s">
        <v>132</v>
      </c>
      <c r="S4" t="s">
        <v>370</v>
      </c>
    </row>
    <row r="5" spans="2:23" x14ac:dyDescent="0.3">
      <c r="B5" t="s">
        <v>371</v>
      </c>
      <c r="J5" t="s">
        <v>371</v>
      </c>
      <c r="R5" t="s">
        <v>371</v>
      </c>
    </row>
    <row r="6" spans="2:23" x14ac:dyDescent="0.3">
      <c r="B6" t="s">
        <v>372</v>
      </c>
      <c r="J6" t="s">
        <v>372</v>
      </c>
      <c r="R6" t="s">
        <v>372</v>
      </c>
    </row>
    <row r="8" spans="2:23" x14ac:dyDescent="0.3">
      <c r="B8" s="2" t="s">
        <v>115</v>
      </c>
      <c r="C8" s="2" t="s">
        <v>122</v>
      </c>
      <c r="D8" s="2" t="s">
        <v>134</v>
      </c>
      <c r="E8" s="2" t="s">
        <v>123</v>
      </c>
      <c r="G8" s="2" t="s">
        <v>124</v>
      </c>
      <c r="J8" s="2" t="s">
        <v>115</v>
      </c>
      <c r="K8" s="2" t="s">
        <v>122</v>
      </c>
      <c r="L8" s="2" t="s">
        <v>134</v>
      </c>
      <c r="M8" s="2" t="s">
        <v>123</v>
      </c>
      <c r="O8" s="2" t="s">
        <v>124</v>
      </c>
      <c r="R8" s="2" t="s">
        <v>115</v>
      </c>
      <c r="S8" s="2" t="s">
        <v>122</v>
      </c>
      <c r="T8" s="2" t="s">
        <v>134</v>
      </c>
      <c r="U8" s="2" t="s">
        <v>123</v>
      </c>
      <c r="W8" s="2" t="s">
        <v>124</v>
      </c>
    </row>
    <row r="10" spans="2:23" x14ac:dyDescent="0.3">
      <c r="B10" s="4" t="s">
        <v>24</v>
      </c>
      <c r="C10">
        <v>4</v>
      </c>
      <c r="D10" s="6">
        <f>VLOOKUP($B10,OPEX!$B$2:$Q$12,16,FALSE)</f>
        <v>91</v>
      </c>
      <c r="E10" s="7">
        <f>C10*D10</f>
        <v>364</v>
      </c>
      <c r="J10" s="4" t="s">
        <v>24</v>
      </c>
      <c r="K10">
        <f>C10*2</f>
        <v>8</v>
      </c>
      <c r="L10" s="6">
        <f>VLOOKUP($J10,OPEX!$B$2:$Q$12,16,FALSE)</f>
        <v>91</v>
      </c>
      <c r="M10" s="6">
        <f t="shared" ref="M10:M11" si="0">K10*L10</f>
        <v>728</v>
      </c>
      <c r="R10" s="4" t="s">
        <v>24</v>
      </c>
      <c r="S10">
        <f>K10*2</f>
        <v>16</v>
      </c>
      <c r="T10" s="6">
        <f>VLOOKUP($R10,OPEX!$B$2:$Q$12,16,FALSE)</f>
        <v>91</v>
      </c>
      <c r="U10" s="6">
        <f t="shared" ref="U10:U11" si="1">S10*T10</f>
        <v>1456</v>
      </c>
    </row>
    <row r="11" spans="2:23" x14ac:dyDescent="0.3">
      <c r="B11" s="4" t="s">
        <v>25</v>
      </c>
      <c r="C11">
        <v>8</v>
      </c>
      <c r="D11" s="6">
        <f>VLOOKUP($B11,OPEX!$B$2:$Q$12,16,FALSE)</f>
        <v>91</v>
      </c>
      <c r="E11" s="7">
        <f t="shared" ref="E11:E18" si="2">C11*D11</f>
        <v>728</v>
      </c>
      <c r="J11" s="4" t="s">
        <v>25</v>
      </c>
      <c r="K11">
        <f>C11*2</f>
        <v>16</v>
      </c>
      <c r="L11" s="6">
        <f>VLOOKUP($J11,OPEX!$B$2:$Q$12,16,FALSE)</f>
        <v>91</v>
      </c>
      <c r="M11" s="6">
        <f t="shared" si="0"/>
        <v>1456</v>
      </c>
      <c r="R11" s="4" t="s">
        <v>25</v>
      </c>
      <c r="S11">
        <f>K11*2</f>
        <v>32</v>
      </c>
      <c r="T11" s="6">
        <f>VLOOKUP($R11,OPEX!$B$2:$Q$12,16,FALSE)</f>
        <v>91</v>
      </c>
      <c r="U11" s="6">
        <f t="shared" si="1"/>
        <v>2912</v>
      </c>
    </row>
    <row r="12" spans="2:23" x14ac:dyDescent="0.3">
      <c r="B12" s="4" t="s">
        <v>26</v>
      </c>
      <c r="C12">
        <v>6</v>
      </c>
      <c r="D12" s="6">
        <f>VLOOKUP($B12,OPEX!$B$2:$Q$12,16,FALSE)</f>
        <v>95.156999999999982</v>
      </c>
      <c r="E12" s="7">
        <f t="shared" si="2"/>
        <v>570.94199999999989</v>
      </c>
      <c r="J12" s="4" t="s">
        <v>26</v>
      </c>
      <c r="K12">
        <f>C12*4</f>
        <v>24</v>
      </c>
      <c r="L12" s="6">
        <f>VLOOKUP($J12,OPEX!$B$2:$Q$12,16,FALSE)</f>
        <v>95.156999999999982</v>
      </c>
      <c r="M12" s="6">
        <f>K12*L12</f>
        <v>2283.7679999999996</v>
      </c>
      <c r="R12" s="4" t="s">
        <v>26</v>
      </c>
      <c r="S12">
        <f t="shared" ref="S12:S14" si="3">K12*1.5</f>
        <v>36</v>
      </c>
      <c r="T12" s="6">
        <f>VLOOKUP($R12,OPEX!$B$2:$Q$12,16,FALSE)</f>
        <v>95.156999999999982</v>
      </c>
      <c r="U12" s="6">
        <f>S12*T12</f>
        <v>3425.6519999999991</v>
      </c>
    </row>
    <row r="13" spans="2:23" x14ac:dyDescent="0.3">
      <c r="B13" s="4" t="s">
        <v>27</v>
      </c>
      <c r="C13">
        <v>6</v>
      </c>
      <c r="D13" s="6">
        <f>VLOOKUP($B13,OPEX!$B$2:$Q$12,16,FALSE)</f>
        <v>95.156999999999982</v>
      </c>
      <c r="E13" s="7">
        <f t="shared" si="2"/>
        <v>570.94199999999989</v>
      </c>
      <c r="J13" s="4" t="s">
        <v>27</v>
      </c>
      <c r="K13">
        <f>C13*4</f>
        <v>24</v>
      </c>
      <c r="L13" s="6">
        <f>VLOOKUP($J13,OPEX!$B$2:$Q$12,16,FALSE)</f>
        <v>95.156999999999982</v>
      </c>
      <c r="M13" s="6">
        <f t="shared" ref="M13:M18" si="4">K13*L13</f>
        <v>2283.7679999999996</v>
      </c>
      <c r="R13" s="4" t="s">
        <v>27</v>
      </c>
      <c r="S13">
        <f t="shared" si="3"/>
        <v>36</v>
      </c>
      <c r="T13" s="6">
        <f>VLOOKUP($R13,OPEX!$B$2:$Q$12,16,FALSE)</f>
        <v>95.156999999999982</v>
      </c>
      <c r="U13" s="6">
        <f t="shared" ref="U13:U17" si="5">S13*T13</f>
        <v>3425.6519999999991</v>
      </c>
    </row>
    <row r="14" spans="2:23" x14ac:dyDescent="0.3">
      <c r="B14" s="4" t="s">
        <v>28</v>
      </c>
      <c r="C14">
        <v>8</v>
      </c>
      <c r="D14" s="6">
        <f>VLOOKUP($B14,OPEX!$B$2:$Q$12,16,FALSE)</f>
        <v>62.426249999999996</v>
      </c>
      <c r="E14" s="7">
        <f t="shared" si="2"/>
        <v>499.40999999999997</v>
      </c>
      <c r="J14" s="4" t="s">
        <v>28</v>
      </c>
      <c r="K14">
        <f>C14*3</f>
        <v>24</v>
      </c>
      <c r="L14" s="6">
        <f>VLOOKUP($J14,OPEX!$B$2:$Q$12,16,FALSE)</f>
        <v>62.426249999999996</v>
      </c>
      <c r="M14" s="6">
        <f t="shared" si="4"/>
        <v>1498.23</v>
      </c>
      <c r="R14" s="4" t="s">
        <v>28</v>
      </c>
      <c r="S14">
        <f t="shared" si="3"/>
        <v>36</v>
      </c>
      <c r="T14" s="6">
        <f>VLOOKUP($R14,OPEX!$B$2:$Q$12,16,FALSE)</f>
        <v>62.426249999999996</v>
      </c>
      <c r="U14" s="6">
        <f t="shared" si="5"/>
        <v>2247.3449999999998</v>
      </c>
    </row>
    <row r="15" spans="2:23" x14ac:dyDescent="0.3">
      <c r="B15" s="4" t="s">
        <v>212</v>
      </c>
      <c r="C15">
        <v>12</v>
      </c>
      <c r="D15" s="6">
        <f>VLOOKUP($B15,OPEX!$B$2:$Q$12,16,FALSE)</f>
        <v>77.666624999999996</v>
      </c>
      <c r="E15" s="7">
        <f t="shared" si="2"/>
        <v>931.9994999999999</v>
      </c>
      <c r="J15" s="4" t="s">
        <v>212</v>
      </c>
      <c r="K15">
        <f>C15*1.5</f>
        <v>18</v>
      </c>
      <c r="L15" s="6">
        <f>VLOOKUP($J15,OPEX!$B$2:$Q$12,16,FALSE)</f>
        <v>77.666624999999996</v>
      </c>
      <c r="M15" s="6">
        <f t="shared" si="4"/>
        <v>1397.9992499999998</v>
      </c>
      <c r="R15" s="4" t="s">
        <v>212</v>
      </c>
      <c r="S15">
        <v>24</v>
      </c>
      <c r="T15" s="6">
        <f>VLOOKUP($R15,OPEX!$B$2:$Q$12,16,FALSE)</f>
        <v>77.666624999999996</v>
      </c>
      <c r="U15" s="6">
        <f t="shared" si="5"/>
        <v>1863.9989999999998</v>
      </c>
    </row>
    <row r="16" spans="2:23" x14ac:dyDescent="0.3">
      <c r="B16" s="4" t="s">
        <v>29</v>
      </c>
      <c r="C16">
        <v>0</v>
      </c>
      <c r="D16" s="6">
        <f>VLOOKUP($B16,OPEX!$B$2:$Q$12,16,FALSE)</f>
        <v>50.390999999999991</v>
      </c>
      <c r="E16" s="7">
        <f t="shared" si="2"/>
        <v>0</v>
      </c>
      <c r="J16" s="4" t="s">
        <v>29</v>
      </c>
      <c r="K16">
        <v>8</v>
      </c>
      <c r="L16" s="6">
        <f>VLOOKUP($J16,OPEX!$B$2:$Q$12,16,FALSE)</f>
        <v>50.390999999999991</v>
      </c>
      <c r="M16" s="6">
        <f t="shared" si="4"/>
        <v>403.12799999999993</v>
      </c>
      <c r="R16" s="4" t="s">
        <v>29</v>
      </c>
      <c r="S16">
        <f>K16*2</f>
        <v>16</v>
      </c>
      <c r="T16" s="6">
        <f>VLOOKUP($R16,OPEX!$B$2:$Q$12,16,FALSE)</f>
        <v>50.390999999999991</v>
      </c>
      <c r="U16" s="6">
        <f t="shared" si="5"/>
        <v>806.25599999999986</v>
      </c>
    </row>
    <row r="17" spans="2:23" x14ac:dyDescent="0.3">
      <c r="B17" s="4" t="s">
        <v>30</v>
      </c>
      <c r="C17">
        <v>20</v>
      </c>
      <c r="D17" s="6">
        <f>VLOOKUP($B17,OPEX!$B$2:$Q$12,16,FALSE)</f>
        <v>34.60575</v>
      </c>
      <c r="E17" s="7">
        <f t="shared" si="2"/>
        <v>692.11500000000001</v>
      </c>
      <c r="J17" s="4" t="s">
        <v>30</v>
      </c>
      <c r="K17">
        <f>C17*1.5</f>
        <v>30</v>
      </c>
      <c r="L17" s="6">
        <f>VLOOKUP($J17,OPEX!$B$2:$Q$12,16,FALSE)</f>
        <v>34.60575</v>
      </c>
      <c r="M17" s="6">
        <f t="shared" si="4"/>
        <v>1038.1725000000001</v>
      </c>
      <c r="R17" s="4" t="s">
        <v>30</v>
      </c>
      <c r="S17">
        <f>K17*2</f>
        <v>60</v>
      </c>
      <c r="T17" s="6">
        <f>VLOOKUP($R17,OPEX!$B$2:$Q$12,16,FALSE)</f>
        <v>34.60575</v>
      </c>
      <c r="U17" s="6">
        <f t="shared" si="5"/>
        <v>2076.3450000000003</v>
      </c>
    </row>
    <row r="18" spans="2:23" x14ac:dyDescent="0.3">
      <c r="B18" s="4" t="s">
        <v>31</v>
      </c>
      <c r="C18">
        <v>0</v>
      </c>
      <c r="D18" s="6">
        <f>VLOOKUP($B18,OPEX!$B$2:$Q$12,16,FALSE)</f>
        <v>50.971124999999994</v>
      </c>
      <c r="E18" s="7">
        <f t="shared" si="2"/>
        <v>0</v>
      </c>
      <c r="J18" s="4" t="s">
        <v>31</v>
      </c>
      <c r="K18">
        <v>4</v>
      </c>
      <c r="L18" s="6">
        <f>VLOOKUP($J18,OPEX!$B$2:$Q$12,16,FALSE)</f>
        <v>50.971124999999994</v>
      </c>
      <c r="M18" s="6">
        <f t="shared" si="4"/>
        <v>203.88449999999997</v>
      </c>
      <c r="R18" s="4" t="s">
        <v>31</v>
      </c>
      <c r="S18">
        <v>8</v>
      </c>
      <c r="T18" s="6">
        <f>VLOOKUP($R18,OPEX!$B$2:$Q$12,16,FALSE)</f>
        <v>50.971124999999994</v>
      </c>
      <c r="U18" s="6"/>
    </row>
    <row r="19" spans="2:23" x14ac:dyDescent="0.3">
      <c r="C19" s="2">
        <f>SUM(C12:C16)</f>
        <v>32</v>
      </c>
      <c r="E19" s="13">
        <f>SUM(E10:E18)</f>
        <v>4357.4084999999995</v>
      </c>
      <c r="G19" s="12">
        <f>E19/C19</f>
        <v>136.16901562499999</v>
      </c>
      <c r="K19" s="2">
        <f>SUM(K12:K18)</f>
        <v>132</v>
      </c>
      <c r="M19" s="13">
        <f>SUM(M10:M18)</f>
        <v>11292.950250000002</v>
      </c>
      <c r="O19" s="12">
        <f>M19/K19</f>
        <v>85.552653409090922</v>
      </c>
      <c r="S19" s="2">
        <f>SUM(S12:S17)</f>
        <v>208</v>
      </c>
      <c r="U19" s="13">
        <f>SUM(U10:U18)</f>
        <v>18213.248999999996</v>
      </c>
      <c r="W19" s="12">
        <f>U19/S19</f>
        <v>87.563697115384599</v>
      </c>
    </row>
    <row r="20" spans="2:23" x14ac:dyDescent="0.3">
      <c r="E20" s="6"/>
      <c r="G20" s="7"/>
      <c r="M20" s="6"/>
      <c r="O20" s="7"/>
      <c r="U20" s="6"/>
      <c r="W20" s="7"/>
    </row>
    <row r="21" spans="2:23" x14ac:dyDescent="0.3">
      <c r="B21" t="s">
        <v>116</v>
      </c>
      <c r="J21" t="s">
        <v>116</v>
      </c>
      <c r="R21" t="s">
        <v>116</v>
      </c>
    </row>
    <row r="22" spans="2:23" x14ac:dyDescent="0.3">
      <c r="B22" t="s">
        <v>84</v>
      </c>
      <c r="C22">
        <v>1</v>
      </c>
      <c r="D22">
        <v>300</v>
      </c>
      <c r="E22">
        <f>C22*D22</f>
        <v>300</v>
      </c>
      <c r="J22" t="s">
        <v>84</v>
      </c>
      <c r="K22">
        <v>1</v>
      </c>
      <c r="L22">
        <v>300</v>
      </c>
      <c r="M22">
        <f>K22*L22</f>
        <v>300</v>
      </c>
      <c r="R22" t="s">
        <v>84</v>
      </c>
      <c r="S22">
        <v>1</v>
      </c>
      <c r="T22">
        <v>300</v>
      </c>
      <c r="U22">
        <f>S22*T22</f>
        <v>300</v>
      </c>
    </row>
    <row r="23" spans="2:23" x14ac:dyDescent="0.3">
      <c r="B23" t="s">
        <v>328</v>
      </c>
      <c r="C23">
        <v>10</v>
      </c>
      <c r="D23">
        <v>30</v>
      </c>
      <c r="E23">
        <f>C23*D23</f>
        <v>300</v>
      </c>
      <c r="J23" t="s">
        <v>328</v>
      </c>
      <c r="K23">
        <v>30</v>
      </c>
      <c r="L23">
        <v>30</v>
      </c>
      <c r="M23">
        <f>K23*L23</f>
        <v>900</v>
      </c>
      <c r="R23" t="s">
        <v>328</v>
      </c>
      <c r="S23">
        <v>75</v>
      </c>
      <c r="T23">
        <v>30</v>
      </c>
      <c r="U23">
        <f>S23*T23</f>
        <v>2250</v>
      </c>
    </row>
    <row r="24" spans="2:23" x14ac:dyDescent="0.3">
      <c r="B24" t="s">
        <v>117</v>
      </c>
      <c r="C24">
        <v>1</v>
      </c>
      <c r="D24">
        <v>350</v>
      </c>
      <c r="E24">
        <f>C24*D24</f>
        <v>350</v>
      </c>
      <c r="J24" t="s">
        <v>117</v>
      </c>
      <c r="K24">
        <v>2</v>
      </c>
      <c r="L24">
        <v>350</v>
      </c>
      <c r="M24">
        <f>K24*L24</f>
        <v>700</v>
      </c>
      <c r="R24" t="s">
        <v>117</v>
      </c>
      <c r="S24">
        <v>2</v>
      </c>
      <c r="T24">
        <v>350</v>
      </c>
      <c r="U24">
        <f>S24*T24</f>
        <v>700</v>
      </c>
    </row>
    <row r="25" spans="2:23" x14ac:dyDescent="0.3">
      <c r="E25" s="2">
        <f>SUM(E22:E24)</f>
        <v>950</v>
      </c>
      <c r="M25" s="2">
        <f>SUM(M22:M24)</f>
        <v>1900</v>
      </c>
      <c r="U25" s="2">
        <f>SUM(U22:U24)</f>
        <v>3250</v>
      </c>
    </row>
    <row r="27" spans="2:23" x14ac:dyDescent="0.3">
      <c r="B27" s="2" t="s">
        <v>17</v>
      </c>
      <c r="E27" s="12">
        <f>E19+E25</f>
        <v>5307.4084999999995</v>
      </c>
      <c r="J27" s="2" t="s">
        <v>17</v>
      </c>
      <c r="M27" s="12">
        <f>M19+M25</f>
        <v>13192.950250000002</v>
      </c>
      <c r="R27" s="2" t="s">
        <v>17</v>
      </c>
      <c r="U27" s="12">
        <f>U19+U25</f>
        <v>21463.248999999996</v>
      </c>
    </row>
    <row r="28" spans="2:23" x14ac:dyDescent="0.3">
      <c r="B28" t="s">
        <v>378</v>
      </c>
      <c r="D28">
        <v>0.25</v>
      </c>
      <c r="E28" s="7">
        <f>D28*E27</f>
        <v>1326.8521249999999</v>
      </c>
      <c r="J28" t="s">
        <v>378</v>
      </c>
      <c r="L28">
        <v>0.25</v>
      </c>
      <c r="M28" s="7">
        <f>L28*M27</f>
        <v>3298.2375625000004</v>
      </c>
      <c r="R28" t="s">
        <v>378</v>
      </c>
      <c r="T28">
        <v>0.25</v>
      </c>
      <c r="U28" s="7">
        <f>T28*U27</f>
        <v>5365.812249999999</v>
      </c>
    </row>
    <row r="30" spans="2:23" x14ac:dyDescent="0.3">
      <c r="B30" s="2" t="s">
        <v>118</v>
      </c>
      <c r="C30" s="2"/>
      <c r="D30" s="2"/>
      <c r="E30" s="12">
        <f>E27+E28</f>
        <v>6634.260624999999</v>
      </c>
      <c r="J30" s="2" t="s">
        <v>118</v>
      </c>
      <c r="K30" s="2"/>
      <c r="L30" s="2"/>
      <c r="M30" s="12">
        <f>M27+M28</f>
        <v>16491.1878125</v>
      </c>
      <c r="R30" s="2" t="s">
        <v>118</v>
      </c>
      <c r="S30" s="2"/>
      <c r="T30" s="2"/>
      <c r="U30" s="12">
        <f>U27+U28</f>
        <v>26829.061249999995</v>
      </c>
    </row>
    <row r="32" spans="2:23" x14ac:dyDescent="0.3">
      <c r="B32" s="2" t="s">
        <v>119</v>
      </c>
      <c r="C32" s="2"/>
      <c r="D32" s="2"/>
      <c r="E32" s="12">
        <f>C3-E30</f>
        <v>115.73937500000102</v>
      </c>
      <c r="J32" s="2" t="s">
        <v>119</v>
      </c>
      <c r="K32" s="2"/>
      <c r="L32" s="2"/>
      <c r="M32" s="12">
        <f>K3-M30</f>
        <v>508.81218749999971</v>
      </c>
      <c r="R32" s="2" t="s">
        <v>119</v>
      </c>
      <c r="S32" s="2"/>
      <c r="T32" s="2"/>
      <c r="U32" s="12">
        <f>S3-U30</f>
        <v>170.9387500000048</v>
      </c>
    </row>
    <row r="33" spans="2:21" x14ac:dyDescent="0.3">
      <c r="B33" s="9" t="s">
        <v>121</v>
      </c>
      <c r="E33" s="11">
        <f>E32/C3</f>
        <v>1.7146574074074224E-2</v>
      </c>
      <c r="J33" s="9" t="s">
        <v>121</v>
      </c>
      <c r="M33" s="11">
        <f>M32/K3</f>
        <v>2.9930128676470571E-2</v>
      </c>
      <c r="R33" s="9" t="s">
        <v>121</v>
      </c>
      <c r="U33" s="11">
        <f>U32/S3</f>
        <v>6.3310648148149924E-3</v>
      </c>
    </row>
    <row r="36" spans="2:21" x14ac:dyDescent="0.3">
      <c r="B36" t="s">
        <v>125</v>
      </c>
      <c r="J36" t="s">
        <v>125</v>
      </c>
      <c r="R36" t="s">
        <v>125</v>
      </c>
    </row>
    <row r="37" spans="2:21" x14ac:dyDescent="0.3">
      <c r="B37" s="4" t="s">
        <v>126</v>
      </c>
      <c r="J37" s="4" t="s">
        <v>126</v>
      </c>
      <c r="R37" s="4" t="s">
        <v>126</v>
      </c>
    </row>
    <row r="38" spans="2:21" x14ac:dyDescent="0.3">
      <c r="B38" s="4" t="s">
        <v>127</v>
      </c>
      <c r="J38" s="4" t="s">
        <v>127</v>
      </c>
      <c r="R38" s="4" t="s">
        <v>127</v>
      </c>
    </row>
    <row r="39" spans="2:21" x14ac:dyDescent="0.3">
      <c r="B39" s="4" t="s">
        <v>128</v>
      </c>
      <c r="J39" s="4" t="s">
        <v>128</v>
      </c>
      <c r="R39" s="4" t="s">
        <v>128</v>
      </c>
    </row>
    <row r="40" spans="2:21" x14ac:dyDescent="0.3">
      <c r="B40" s="4" t="s">
        <v>192</v>
      </c>
      <c r="J40" s="4" t="s">
        <v>192</v>
      </c>
      <c r="R40" s="4" t="s">
        <v>192</v>
      </c>
    </row>
    <row r="41" spans="2:21" x14ac:dyDescent="0.3">
      <c r="B41" s="4" t="s">
        <v>189</v>
      </c>
      <c r="J41" s="4" t="s">
        <v>189</v>
      </c>
      <c r="R41" s="4" t="s">
        <v>189</v>
      </c>
    </row>
    <row r="45" spans="2:21" x14ac:dyDescent="0.3">
      <c r="B45" t="s">
        <v>319</v>
      </c>
      <c r="J45" t="s">
        <v>319</v>
      </c>
      <c r="R45" t="s">
        <v>319</v>
      </c>
    </row>
    <row r="46" spans="2:21" x14ac:dyDescent="0.3">
      <c r="B46" s="4" t="s">
        <v>322</v>
      </c>
      <c r="J46" s="4" t="s">
        <v>322</v>
      </c>
      <c r="R46" s="4" t="s">
        <v>322</v>
      </c>
    </row>
    <row r="47" spans="2:21" x14ac:dyDescent="0.3">
      <c r="B47" s="4" t="s">
        <v>340</v>
      </c>
      <c r="J47" s="4" t="s">
        <v>340</v>
      </c>
      <c r="R47" s="4" t="s">
        <v>340</v>
      </c>
    </row>
    <row r="48" spans="2:21" x14ac:dyDescent="0.3">
      <c r="B48" s="4" t="s">
        <v>327</v>
      </c>
      <c r="J48" s="4" t="s">
        <v>320</v>
      </c>
      <c r="R48" s="4" t="s">
        <v>320</v>
      </c>
    </row>
    <row r="49" spans="2:18" x14ac:dyDescent="0.3">
      <c r="B49" s="4" t="s">
        <v>341</v>
      </c>
      <c r="J49" s="4" t="s">
        <v>327</v>
      </c>
      <c r="R49" s="4" t="s">
        <v>327</v>
      </c>
    </row>
    <row r="50" spans="2:18" x14ac:dyDescent="0.3">
      <c r="B50" s="4" t="s">
        <v>342</v>
      </c>
      <c r="J50" s="4" t="s">
        <v>321</v>
      </c>
      <c r="R50" s="4" t="s">
        <v>321</v>
      </c>
    </row>
    <row r="51" spans="2:18" x14ac:dyDescent="0.3">
      <c r="B51" s="4" t="s">
        <v>326</v>
      </c>
      <c r="J51" s="4" t="s">
        <v>342</v>
      </c>
      <c r="R51" s="4" t="s">
        <v>342</v>
      </c>
    </row>
    <row r="52" spans="2:18" x14ac:dyDescent="0.3">
      <c r="B52" s="4" t="s">
        <v>343</v>
      </c>
      <c r="J52" s="4" t="s">
        <v>326</v>
      </c>
      <c r="R52" s="4" t="s">
        <v>326</v>
      </c>
    </row>
    <row r="53" spans="2:18" x14ac:dyDescent="0.3">
      <c r="B53" s="4" t="s">
        <v>344</v>
      </c>
      <c r="J53" s="4" t="s">
        <v>323</v>
      </c>
      <c r="R53" s="4" t="s">
        <v>323</v>
      </c>
    </row>
    <row r="54" spans="2:18" x14ac:dyDescent="0.3">
      <c r="B54" s="4" t="s">
        <v>325</v>
      </c>
      <c r="J54" s="4" t="s">
        <v>324</v>
      </c>
      <c r="R54" s="4" t="s">
        <v>324</v>
      </c>
    </row>
    <row r="55" spans="2:18" x14ac:dyDescent="0.3">
      <c r="B55" s="4" t="s">
        <v>331</v>
      </c>
      <c r="J55" s="4" t="s">
        <v>325</v>
      </c>
      <c r="R55" s="4" t="s">
        <v>325</v>
      </c>
    </row>
    <row r="56" spans="2:18" x14ac:dyDescent="0.3">
      <c r="J56" s="4" t="s">
        <v>331</v>
      </c>
      <c r="R56" s="4" t="s">
        <v>331</v>
      </c>
    </row>
    <row r="59" spans="2:18" x14ac:dyDescent="0.3">
      <c r="B59" t="s">
        <v>337</v>
      </c>
    </row>
    <row r="60" spans="2:18" x14ac:dyDescent="0.3">
      <c r="B60" s="4" t="s">
        <v>329</v>
      </c>
    </row>
    <row r="61" spans="2:18" x14ac:dyDescent="0.3">
      <c r="B61" s="4" t="s">
        <v>330</v>
      </c>
    </row>
    <row r="62" spans="2:18" x14ac:dyDescent="0.3">
      <c r="B62" s="4" t="s">
        <v>332</v>
      </c>
    </row>
    <row r="63" spans="2:18" x14ac:dyDescent="0.3">
      <c r="B63" s="4" t="s">
        <v>333</v>
      </c>
    </row>
    <row r="64" spans="2:18" x14ac:dyDescent="0.3">
      <c r="B64" s="4" t="s">
        <v>334</v>
      </c>
    </row>
    <row r="65" spans="2:2" x14ac:dyDescent="0.3">
      <c r="B65" s="4" t="s">
        <v>335</v>
      </c>
    </row>
    <row r="66" spans="2:2" x14ac:dyDescent="0.3">
      <c r="B66" s="4" t="s">
        <v>336</v>
      </c>
    </row>
    <row r="67" spans="2:2" x14ac:dyDescent="0.3">
      <c r="B67" s="4" t="s">
        <v>338</v>
      </c>
    </row>
    <row r="68" spans="2:2" x14ac:dyDescent="0.3">
      <c r="B68" s="4" t="s">
        <v>345</v>
      </c>
    </row>
    <row r="69" spans="2:2" x14ac:dyDescent="0.3">
      <c r="B69" s="4" t="s">
        <v>339</v>
      </c>
    </row>
    <row r="72" spans="2:2" x14ac:dyDescent="0.3">
      <c r="B72" t="s">
        <v>360</v>
      </c>
    </row>
    <row r="73" spans="2:2" x14ac:dyDescent="0.3">
      <c r="B73" s="4" t="s">
        <v>361</v>
      </c>
    </row>
    <row r="74" spans="2:2" x14ac:dyDescent="0.3">
      <c r="B74" s="4" t="s">
        <v>362</v>
      </c>
    </row>
    <row r="75" spans="2:2" x14ac:dyDescent="0.3">
      <c r="B75" s="4" t="s">
        <v>363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E069C-615E-4EF8-B44C-C86018AD6A4C}">
  <dimension ref="B1:AO70"/>
  <sheetViews>
    <sheetView topLeftCell="M34" workbookViewId="0">
      <selection activeCell="AD48" sqref="AD48"/>
    </sheetView>
  </sheetViews>
  <sheetFormatPr defaultRowHeight="14.4" x14ac:dyDescent="0.3"/>
  <cols>
    <col min="2" max="2" width="28" bestFit="1" customWidth="1"/>
    <col min="4" max="4" width="14.5546875" bestFit="1" customWidth="1"/>
    <col min="5" max="5" width="12.5546875" customWidth="1"/>
    <col min="6" max="8" width="9.6640625" bestFit="1" customWidth="1"/>
    <col min="9" max="9" width="10.33203125" customWidth="1"/>
    <col min="10" max="10" width="14.44140625" bestFit="1" customWidth="1"/>
    <col min="11" max="12" width="14.33203125" customWidth="1"/>
    <col min="13" max="13" width="9.88671875" bestFit="1" customWidth="1"/>
    <col min="14" max="15" width="9.6640625" bestFit="1" customWidth="1"/>
  </cols>
  <sheetData>
    <row r="1" spans="2:41" x14ac:dyDescent="0.3">
      <c r="N1">
        <f>2080</f>
        <v>2080</v>
      </c>
      <c r="O1">
        <v>1600</v>
      </c>
    </row>
    <row r="2" spans="2:41" x14ac:dyDescent="0.3">
      <c r="B2" s="2" t="s">
        <v>135</v>
      </c>
      <c r="C2" s="2" t="s">
        <v>136</v>
      </c>
      <c r="D2" s="2" t="s">
        <v>137</v>
      </c>
      <c r="E2" s="2" t="s">
        <v>138</v>
      </c>
      <c r="F2" s="2" t="s">
        <v>139</v>
      </c>
      <c r="G2" s="2" t="s">
        <v>140</v>
      </c>
      <c r="H2" s="2" t="s">
        <v>142</v>
      </c>
      <c r="I2" s="2" t="s">
        <v>141</v>
      </c>
      <c r="J2" s="2" t="s">
        <v>147</v>
      </c>
      <c r="K2" s="2" t="s">
        <v>164</v>
      </c>
      <c r="L2" s="2" t="s">
        <v>148</v>
      </c>
      <c r="M2" s="2" t="s">
        <v>17</v>
      </c>
      <c r="N2" s="2" t="s">
        <v>143</v>
      </c>
      <c r="O2" s="2" t="s">
        <v>144</v>
      </c>
      <c r="P2" s="2" t="s">
        <v>145</v>
      </c>
      <c r="Q2" s="2" t="s">
        <v>146</v>
      </c>
    </row>
    <row r="4" spans="2:41" x14ac:dyDescent="0.3">
      <c r="B4" s="4" t="s">
        <v>24</v>
      </c>
      <c r="C4">
        <v>1</v>
      </c>
      <c r="D4" s="6">
        <v>10000</v>
      </c>
      <c r="E4" s="6"/>
      <c r="F4" s="6"/>
      <c r="G4" s="6">
        <f>D4/12</f>
        <v>833.33333333333337</v>
      </c>
      <c r="H4" s="6"/>
      <c r="I4" s="6"/>
      <c r="J4" s="6">
        <v>1000</v>
      </c>
      <c r="K4" s="6">
        <v>200</v>
      </c>
      <c r="L4" s="6">
        <v>100</v>
      </c>
      <c r="M4" s="6">
        <f>SUM(D4:L4)</f>
        <v>12133.333333333334</v>
      </c>
      <c r="N4">
        <f>N$1/12</f>
        <v>173.33333333333334</v>
      </c>
      <c r="O4">
        <f>O$1/12</f>
        <v>133.33333333333334</v>
      </c>
      <c r="P4" s="7">
        <f>M4/N4</f>
        <v>70</v>
      </c>
      <c r="Q4" s="7">
        <f>M4/O4</f>
        <v>91</v>
      </c>
    </row>
    <row r="5" spans="2:41" x14ac:dyDescent="0.3">
      <c r="B5" s="4" t="s">
        <v>25</v>
      </c>
      <c r="C5">
        <v>1</v>
      </c>
      <c r="D5" s="6">
        <v>10000</v>
      </c>
      <c r="E5" s="6"/>
      <c r="F5" s="6"/>
      <c r="G5" s="6">
        <f>D5/12</f>
        <v>833.33333333333337</v>
      </c>
      <c r="H5" s="6"/>
      <c r="I5" s="6"/>
      <c r="J5" s="6">
        <v>1000</v>
      </c>
      <c r="K5" s="6">
        <v>200</v>
      </c>
      <c r="L5" s="6">
        <v>100</v>
      </c>
      <c r="M5" s="6">
        <f t="shared" ref="M5:M12" si="0">SUM(D5:L5)</f>
        <v>12133.333333333334</v>
      </c>
      <c r="N5">
        <f t="shared" ref="N5:O12" si="1">N$1/12</f>
        <v>173.33333333333334</v>
      </c>
      <c r="O5">
        <f t="shared" si="1"/>
        <v>133.33333333333334</v>
      </c>
      <c r="P5" s="7">
        <f t="shared" ref="P5:P12" si="2">M5/N5</f>
        <v>70</v>
      </c>
      <c r="Q5" s="7">
        <f t="shared" ref="Q5:Q12" si="3">M5/O5</f>
        <v>91</v>
      </c>
    </row>
    <row r="6" spans="2:41" x14ac:dyDescent="0.3">
      <c r="B6" s="4" t="s">
        <v>26</v>
      </c>
      <c r="C6">
        <v>1</v>
      </c>
      <c r="D6" s="6"/>
      <c r="E6" s="6">
        <v>8000</v>
      </c>
      <c r="F6" s="6">
        <f>E6*0.08</f>
        <v>640</v>
      </c>
      <c r="G6" s="6">
        <f>E6*1/12</f>
        <v>666.66666666666663</v>
      </c>
      <c r="H6" s="6">
        <f>0.08*E6</f>
        <v>640</v>
      </c>
      <c r="I6" s="6">
        <f>0.17*SUM(E6:H6)</f>
        <v>1690.9333333333334</v>
      </c>
      <c r="J6" s="6">
        <v>850</v>
      </c>
      <c r="K6" s="6">
        <v>150</v>
      </c>
      <c r="L6" s="6">
        <v>50</v>
      </c>
      <c r="M6" s="6">
        <f t="shared" si="0"/>
        <v>12687.599999999999</v>
      </c>
      <c r="N6">
        <f t="shared" si="1"/>
        <v>173.33333333333334</v>
      </c>
      <c r="O6">
        <f t="shared" si="1"/>
        <v>133.33333333333334</v>
      </c>
      <c r="P6" s="7">
        <f t="shared" si="2"/>
        <v>73.197692307692293</v>
      </c>
      <c r="Q6" s="7">
        <f t="shared" si="3"/>
        <v>95.156999999999982</v>
      </c>
    </row>
    <row r="7" spans="2:41" x14ac:dyDescent="0.3">
      <c r="B7" s="4" t="s">
        <v>27</v>
      </c>
      <c r="C7">
        <v>1</v>
      </c>
      <c r="D7" s="6"/>
      <c r="E7" s="6">
        <v>8000</v>
      </c>
      <c r="F7" s="6">
        <f t="shared" ref="F7:F12" si="4">E7*0.08</f>
        <v>640</v>
      </c>
      <c r="G7" s="6">
        <f t="shared" ref="G7:G12" si="5">E7*1/12</f>
        <v>666.66666666666663</v>
      </c>
      <c r="H7" s="6">
        <f t="shared" ref="H7:H12" si="6">0.08*E7</f>
        <v>640</v>
      </c>
      <c r="I7" s="6">
        <f t="shared" ref="I7:I12" si="7">0.17*SUM(E7:H7)</f>
        <v>1690.9333333333334</v>
      </c>
      <c r="J7" s="6">
        <v>850</v>
      </c>
      <c r="K7" s="6">
        <v>150</v>
      </c>
      <c r="L7" s="6">
        <v>50</v>
      </c>
      <c r="M7" s="6">
        <f t="shared" si="0"/>
        <v>12687.599999999999</v>
      </c>
      <c r="N7">
        <f t="shared" si="1"/>
        <v>173.33333333333334</v>
      </c>
      <c r="O7">
        <f t="shared" si="1"/>
        <v>133.33333333333334</v>
      </c>
      <c r="P7" s="7">
        <f t="shared" si="2"/>
        <v>73.197692307692293</v>
      </c>
      <c r="Q7" s="7">
        <f t="shared" si="3"/>
        <v>95.156999999999982</v>
      </c>
    </row>
    <row r="8" spans="2:41" x14ac:dyDescent="0.3">
      <c r="B8" s="4" t="s">
        <v>28</v>
      </c>
      <c r="C8">
        <v>1</v>
      </c>
      <c r="D8" s="6"/>
      <c r="E8" s="6">
        <v>5000</v>
      </c>
      <c r="F8" s="6">
        <f t="shared" si="4"/>
        <v>400</v>
      </c>
      <c r="G8" s="6">
        <f t="shared" si="5"/>
        <v>416.66666666666669</v>
      </c>
      <c r="H8" s="6">
        <f t="shared" si="6"/>
        <v>400</v>
      </c>
      <c r="I8" s="6">
        <f t="shared" si="7"/>
        <v>1056.8333333333335</v>
      </c>
      <c r="J8" s="6">
        <v>850</v>
      </c>
      <c r="K8" s="6">
        <v>150</v>
      </c>
      <c r="L8" s="6">
        <v>50</v>
      </c>
      <c r="M8" s="6">
        <f t="shared" si="0"/>
        <v>8323.5</v>
      </c>
      <c r="N8">
        <f t="shared" si="1"/>
        <v>173.33333333333334</v>
      </c>
      <c r="O8">
        <f t="shared" si="1"/>
        <v>133.33333333333334</v>
      </c>
      <c r="P8" s="7">
        <f t="shared" si="2"/>
        <v>48.020192307692305</v>
      </c>
      <c r="Q8" s="7">
        <f t="shared" si="3"/>
        <v>62.426249999999996</v>
      </c>
    </row>
    <row r="9" spans="2:41" x14ac:dyDescent="0.3">
      <c r="B9" s="4" t="s">
        <v>212</v>
      </c>
      <c r="C9">
        <v>1</v>
      </c>
      <c r="D9" s="6"/>
      <c r="E9" s="6">
        <v>6500</v>
      </c>
      <c r="F9" s="6">
        <f t="shared" si="4"/>
        <v>520</v>
      </c>
      <c r="G9" s="6">
        <f t="shared" si="5"/>
        <v>541.66666666666663</v>
      </c>
      <c r="H9" s="6">
        <f t="shared" si="6"/>
        <v>520</v>
      </c>
      <c r="I9" s="6">
        <f t="shared" si="7"/>
        <v>1373.8833333333334</v>
      </c>
      <c r="J9" s="6">
        <v>700</v>
      </c>
      <c r="K9" s="6">
        <v>150</v>
      </c>
      <c r="L9" s="6">
        <v>50</v>
      </c>
      <c r="M9" s="6">
        <f t="shared" si="0"/>
        <v>10355.550000000001</v>
      </c>
      <c r="N9">
        <f t="shared" si="1"/>
        <v>173.33333333333334</v>
      </c>
      <c r="O9">
        <f t="shared" si="1"/>
        <v>133.33333333333334</v>
      </c>
      <c r="P9" s="7">
        <f t="shared" si="2"/>
        <v>59.743557692307697</v>
      </c>
      <c r="Q9" s="7">
        <f t="shared" si="3"/>
        <v>77.666624999999996</v>
      </c>
    </row>
    <row r="10" spans="2:41" x14ac:dyDescent="0.3">
      <c r="B10" s="4" t="s">
        <v>29</v>
      </c>
      <c r="C10">
        <v>1</v>
      </c>
      <c r="D10" s="6"/>
      <c r="E10" s="6">
        <v>4000</v>
      </c>
      <c r="F10" s="6">
        <f t="shared" si="4"/>
        <v>320</v>
      </c>
      <c r="G10" s="6">
        <f t="shared" si="5"/>
        <v>333.33333333333331</v>
      </c>
      <c r="H10" s="6">
        <f t="shared" si="6"/>
        <v>320</v>
      </c>
      <c r="I10" s="6">
        <f t="shared" si="7"/>
        <v>845.4666666666667</v>
      </c>
      <c r="J10" s="6">
        <v>700</v>
      </c>
      <c r="K10" s="6">
        <v>150</v>
      </c>
      <c r="L10" s="6">
        <v>50</v>
      </c>
      <c r="M10" s="6">
        <f t="shared" si="0"/>
        <v>6718.7999999999993</v>
      </c>
      <c r="N10">
        <f t="shared" si="1"/>
        <v>173.33333333333334</v>
      </c>
      <c r="O10">
        <f t="shared" si="1"/>
        <v>133.33333333333334</v>
      </c>
      <c r="P10" s="7">
        <f t="shared" si="2"/>
        <v>38.762307692307687</v>
      </c>
      <c r="Q10" s="7">
        <f t="shared" si="3"/>
        <v>50.390999999999991</v>
      </c>
    </row>
    <row r="11" spans="2:41" x14ac:dyDescent="0.3">
      <c r="B11" s="4" t="s">
        <v>30</v>
      </c>
      <c r="C11">
        <v>1</v>
      </c>
      <c r="D11" s="6"/>
      <c r="E11" s="6">
        <v>3000</v>
      </c>
      <c r="F11" s="6">
        <f t="shared" si="4"/>
        <v>240</v>
      </c>
      <c r="G11" s="6">
        <f t="shared" si="5"/>
        <v>250</v>
      </c>
      <c r="H11" s="6">
        <f t="shared" si="6"/>
        <v>240</v>
      </c>
      <c r="I11" s="6">
        <f t="shared" si="7"/>
        <v>634.1</v>
      </c>
      <c r="J11" s="6">
        <v>200</v>
      </c>
      <c r="K11" s="6"/>
      <c r="L11" s="6">
        <v>50</v>
      </c>
      <c r="M11" s="6">
        <f t="shared" si="0"/>
        <v>4614.1000000000004</v>
      </c>
      <c r="N11">
        <f t="shared" si="1"/>
        <v>173.33333333333334</v>
      </c>
      <c r="O11">
        <f t="shared" si="1"/>
        <v>133.33333333333334</v>
      </c>
      <c r="P11" s="7">
        <f t="shared" si="2"/>
        <v>26.619807692307692</v>
      </c>
      <c r="Q11" s="7">
        <f t="shared" si="3"/>
        <v>34.60575</v>
      </c>
    </row>
    <row r="12" spans="2:41" x14ac:dyDescent="0.3">
      <c r="B12" s="4" t="s">
        <v>31</v>
      </c>
      <c r="C12">
        <v>1</v>
      </c>
      <c r="D12" s="6"/>
      <c r="E12" s="6">
        <v>4500</v>
      </c>
      <c r="F12" s="6">
        <f t="shared" si="4"/>
        <v>360</v>
      </c>
      <c r="G12" s="6">
        <f t="shared" si="5"/>
        <v>375</v>
      </c>
      <c r="H12" s="6">
        <f t="shared" si="6"/>
        <v>360</v>
      </c>
      <c r="I12" s="6">
        <f t="shared" si="7"/>
        <v>951.15000000000009</v>
      </c>
      <c r="J12" s="6">
        <v>200</v>
      </c>
      <c r="K12" s="6"/>
      <c r="L12" s="6">
        <v>50</v>
      </c>
      <c r="M12" s="6">
        <f t="shared" si="0"/>
        <v>6796.15</v>
      </c>
      <c r="N12">
        <f t="shared" si="1"/>
        <v>173.33333333333334</v>
      </c>
      <c r="O12">
        <f t="shared" si="1"/>
        <v>133.33333333333334</v>
      </c>
      <c r="P12" s="7">
        <f t="shared" si="2"/>
        <v>39.208557692307686</v>
      </c>
      <c r="Q12" s="7">
        <f t="shared" si="3"/>
        <v>50.971124999999994</v>
      </c>
    </row>
    <row r="13" spans="2:41" x14ac:dyDescent="0.3">
      <c r="D13" s="7">
        <f>SUM(D4:D12)</f>
        <v>20000</v>
      </c>
      <c r="E13" s="7">
        <f t="shared" ref="E13:M13" si="8">SUM(E4:E12)</f>
        <v>39000</v>
      </c>
      <c r="F13" s="7">
        <f t="shared" si="8"/>
        <v>3120</v>
      </c>
      <c r="G13" s="7">
        <f t="shared" si="8"/>
        <v>4916.6666666666661</v>
      </c>
      <c r="H13" s="7">
        <f t="shared" si="8"/>
        <v>3120</v>
      </c>
      <c r="I13" s="7">
        <f t="shared" si="8"/>
        <v>8243.3000000000011</v>
      </c>
      <c r="J13" s="7">
        <f t="shared" si="8"/>
        <v>6350</v>
      </c>
      <c r="K13" s="7">
        <f t="shared" si="8"/>
        <v>1150</v>
      </c>
      <c r="L13" s="7">
        <f t="shared" si="8"/>
        <v>550</v>
      </c>
      <c r="M13" s="7">
        <f t="shared" si="8"/>
        <v>86449.96666666666</v>
      </c>
    </row>
    <row r="15" spans="2:41" x14ac:dyDescent="0.3">
      <c r="D15" s="2" t="s">
        <v>166</v>
      </c>
      <c r="E15" s="2" t="s">
        <v>167</v>
      </c>
      <c r="F15" s="2" t="s">
        <v>168</v>
      </c>
      <c r="G15" s="2" t="s">
        <v>169</v>
      </c>
      <c r="H15" s="2" t="s">
        <v>170</v>
      </c>
      <c r="I15" s="2" t="s">
        <v>171</v>
      </c>
      <c r="J15" s="2" t="s">
        <v>172</v>
      </c>
      <c r="K15" s="2" t="s">
        <v>173</v>
      </c>
      <c r="L15" s="2" t="s">
        <v>174</v>
      </c>
      <c r="M15" s="2" t="s">
        <v>175</v>
      </c>
      <c r="N15" s="2" t="s">
        <v>176</v>
      </c>
      <c r="O15" s="2" t="s">
        <v>177</v>
      </c>
      <c r="P15" s="2"/>
      <c r="Q15" s="2" t="s">
        <v>227</v>
      </c>
      <c r="R15" s="2" t="s">
        <v>228</v>
      </c>
      <c r="S15" s="2" t="s">
        <v>229</v>
      </c>
      <c r="T15" s="2" t="s">
        <v>230</v>
      </c>
      <c r="U15" s="2" t="s">
        <v>231</v>
      </c>
      <c r="V15" s="2" t="s">
        <v>232</v>
      </c>
      <c r="W15" s="2" t="s">
        <v>233</v>
      </c>
      <c r="X15" s="2" t="s">
        <v>234</v>
      </c>
      <c r="Y15" s="2" t="s">
        <v>235</v>
      </c>
      <c r="Z15" s="2" t="s">
        <v>236</v>
      </c>
      <c r="AA15" s="2" t="s">
        <v>237</v>
      </c>
      <c r="AB15" s="2" t="s">
        <v>238</v>
      </c>
      <c r="AD15" t="s">
        <v>227</v>
      </c>
      <c r="AE15" t="s">
        <v>228</v>
      </c>
      <c r="AF15" t="s">
        <v>229</v>
      </c>
      <c r="AG15" t="s">
        <v>230</v>
      </c>
      <c r="AH15" t="s">
        <v>231</v>
      </c>
      <c r="AI15" t="s">
        <v>232</v>
      </c>
      <c r="AJ15" t="s">
        <v>233</v>
      </c>
      <c r="AK15" t="s">
        <v>234</v>
      </c>
      <c r="AL15" t="s">
        <v>235</v>
      </c>
      <c r="AM15" t="s">
        <v>236</v>
      </c>
      <c r="AN15" t="s">
        <v>237</v>
      </c>
      <c r="AO15" t="s">
        <v>238</v>
      </c>
    </row>
    <row r="17" spans="2:41" x14ac:dyDescent="0.3">
      <c r="B17" s="4" t="s">
        <v>24</v>
      </c>
      <c r="D17">
        <v>0.2</v>
      </c>
      <c r="E17">
        <v>0.2</v>
      </c>
      <c r="F17">
        <v>0.2</v>
      </c>
      <c r="G17">
        <v>0.2</v>
      </c>
      <c r="H17">
        <v>0.2</v>
      </c>
      <c r="I17">
        <v>0.2</v>
      </c>
      <c r="J17">
        <v>0.2</v>
      </c>
      <c r="K17">
        <v>0.2</v>
      </c>
      <c r="L17">
        <v>0.2</v>
      </c>
      <c r="M17">
        <v>0.2</v>
      </c>
      <c r="N17">
        <v>0.2</v>
      </c>
      <c r="O17">
        <v>0.2</v>
      </c>
      <c r="Q17">
        <f>RFF!Q20</f>
        <v>0.5</v>
      </c>
      <c r="R17">
        <f>RFF!R20</f>
        <v>0.5</v>
      </c>
      <c r="S17">
        <f>RFF!S20</f>
        <v>0.5</v>
      </c>
      <c r="T17">
        <f>RFF!T20</f>
        <v>0.6</v>
      </c>
      <c r="U17">
        <f>RFF!U20</f>
        <v>0.6</v>
      </c>
      <c r="V17">
        <f>RFF!V20</f>
        <v>0.6</v>
      </c>
      <c r="W17">
        <f>RFF!W20</f>
        <v>0.6</v>
      </c>
      <c r="X17">
        <f>RFF!X20</f>
        <v>0.6</v>
      </c>
      <c r="Y17">
        <f>RFF!Y20</f>
        <v>0.8</v>
      </c>
      <c r="Z17">
        <f>RFF!Z20</f>
        <v>0.8</v>
      </c>
      <c r="AA17">
        <f>RFF!AA20</f>
        <v>0.8</v>
      </c>
      <c r="AB17">
        <f>RFF!AB20</f>
        <v>0.8</v>
      </c>
      <c r="AD17">
        <f>RFF!AD20</f>
        <v>1.4</v>
      </c>
      <c r="AE17">
        <f>RFF!AE20</f>
        <v>1.4</v>
      </c>
      <c r="AF17">
        <f>RFF!AF20</f>
        <v>1.4</v>
      </c>
      <c r="AG17">
        <f>RFF!AG20</f>
        <v>1.4</v>
      </c>
      <c r="AH17">
        <f>RFF!AH20</f>
        <v>1.4</v>
      </c>
      <c r="AI17">
        <f>RFF!AI20</f>
        <v>1.4</v>
      </c>
      <c r="AJ17">
        <f>RFF!AJ20</f>
        <v>1.4</v>
      </c>
      <c r="AK17">
        <f>RFF!AK20</f>
        <v>1.4</v>
      </c>
      <c r="AL17">
        <f>RFF!AL20</f>
        <v>1.4</v>
      </c>
      <c r="AM17">
        <f>RFF!AM20</f>
        <v>1.6</v>
      </c>
      <c r="AN17">
        <f>RFF!AN20</f>
        <v>1.6</v>
      </c>
      <c r="AO17">
        <f>RFF!AO20</f>
        <v>1.6</v>
      </c>
    </row>
    <row r="18" spans="2:41" x14ac:dyDescent="0.3">
      <c r="B18" s="4" t="s">
        <v>25</v>
      </c>
      <c r="D18">
        <v>0.6</v>
      </c>
      <c r="E18">
        <v>0.6</v>
      </c>
      <c r="F18">
        <v>0.6</v>
      </c>
      <c r="G18">
        <v>0.6</v>
      </c>
      <c r="H18">
        <v>0.6</v>
      </c>
      <c r="I18">
        <v>0.6</v>
      </c>
      <c r="J18">
        <v>0.6</v>
      </c>
      <c r="K18">
        <v>0.6</v>
      </c>
      <c r="L18">
        <v>0.6</v>
      </c>
      <c r="M18">
        <v>0.6</v>
      </c>
      <c r="N18">
        <v>0.6</v>
      </c>
      <c r="O18">
        <v>0.6</v>
      </c>
      <c r="Q18">
        <f>RFF!Q21</f>
        <v>0.8</v>
      </c>
      <c r="R18">
        <f>RFF!R21</f>
        <v>0.8</v>
      </c>
      <c r="S18">
        <f>RFF!S21</f>
        <v>0.8</v>
      </c>
      <c r="T18">
        <f>RFF!T21</f>
        <v>1</v>
      </c>
      <c r="U18">
        <f>RFF!U21</f>
        <v>1.4</v>
      </c>
      <c r="V18">
        <f>RFF!V21</f>
        <v>1.4</v>
      </c>
      <c r="W18">
        <f>RFF!W21</f>
        <v>1.4</v>
      </c>
      <c r="X18">
        <f>RFF!X21</f>
        <v>1.4</v>
      </c>
      <c r="Y18">
        <f>RFF!Y21</f>
        <v>1.4</v>
      </c>
      <c r="Z18">
        <f>RFF!Z21</f>
        <v>1.4</v>
      </c>
      <c r="AA18">
        <f>RFF!AA21</f>
        <v>1.4</v>
      </c>
      <c r="AB18">
        <f>RFF!AB21</f>
        <v>1.4</v>
      </c>
      <c r="AD18">
        <f>RFF!AD21</f>
        <v>2</v>
      </c>
      <c r="AE18">
        <f>RFF!AE21</f>
        <v>2</v>
      </c>
      <c r="AF18">
        <f>RFF!AF21</f>
        <v>2</v>
      </c>
      <c r="AG18">
        <f>RFF!AG21</f>
        <v>2.2000000000000002</v>
      </c>
      <c r="AH18">
        <f>RFF!AH21</f>
        <v>2.2000000000000002</v>
      </c>
      <c r="AI18">
        <f>RFF!AI21</f>
        <v>2.2000000000000002</v>
      </c>
      <c r="AJ18">
        <f>RFF!AJ21</f>
        <v>2.2000000000000002</v>
      </c>
      <c r="AK18">
        <f>RFF!AK21</f>
        <v>2.2000000000000002</v>
      </c>
      <c r="AL18">
        <f>RFF!AL21</f>
        <v>2.2000000000000002</v>
      </c>
      <c r="AM18">
        <f>RFF!AM21</f>
        <v>2.6</v>
      </c>
      <c r="AN18">
        <f>RFF!AN21</f>
        <v>2.6</v>
      </c>
      <c r="AO18">
        <f>RFF!AO21</f>
        <v>2.6</v>
      </c>
    </row>
    <row r="19" spans="2:41" x14ac:dyDescent="0.3">
      <c r="B19" s="4" t="s">
        <v>26</v>
      </c>
      <c r="J19">
        <v>0.4</v>
      </c>
      <c r="K19">
        <v>0.4</v>
      </c>
      <c r="L19">
        <v>0.4</v>
      </c>
      <c r="M19">
        <v>0.4</v>
      </c>
      <c r="N19">
        <v>0.4</v>
      </c>
      <c r="O19">
        <v>0.4</v>
      </c>
      <c r="Q19">
        <f>RFF!Q22</f>
        <v>0.8</v>
      </c>
      <c r="R19">
        <f>RFF!R22</f>
        <v>0.8</v>
      </c>
      <c r="S19">
        <f>RFF!S22</f>
        <v>0.8</v>
      </c>
      <c r="T19">
        <f>RFF!T22</f>
        <v>1</v>
      </c>
      <c r="U19">
        <f>RFF!U22</f>
        <v>1.2</v>
      </c>
      <c r="V19">
        <f>RFF!V22</f>
        <v>1.2</v>
      </c>
      <c r="W19">
        <f>RFF!W22</f>
        <v>1.2</v>
      </c>
      <c r="X19">
        <f>RFF!X22</f>
        <v>1.2</v>
      </c>
      <c r="Y19">
        <f>RFF!Y22</f>
        <v>1.2</v>
      </c>
      <c r="Z19">
        <f>RFF!Z22</f>
        <v>1.4</v>
      </c>
      <c r="AA19">
        <f>RFF!AA22</f>
        <v>1.4</v>
      </c>
      <c r="AB19">
        <f>RFF!AB22</f>
        <v>1.4</v>
      </c>
      <c r="AD19">
        <f>RFF!AD22</f>
        <v>2</v>
      </c>
      <c r="AE19">
        <f>RFF!AE22</f>
        <v>2</v>
      </c>
      <c r="AF19">
        <f>RFF!AF22</f>
        <v>2</v>
      </c>
      <c r="AG19">
        <f>RFF!AG22</f>
        <v>2.2000000000000002</v>
      </c>
      <c r="AH19">
        <f>RFF!AH22</f>
        <v>2.2000000000000002</v>
      </c>
      <c r="AI19">
        <f>RFF!AI22</f>
        <v>2.2000000000000002</v>
      </c>
      <c r="AJ19">
        <f>RFF!AJ22</f>
        <v>2.2000000000000002</v>
      </c>
      <c r="AK19">
        <f>RFF!AK22</f>
        <v>2.2000000000000002</v>
      </c>
      <c r="AL19">
        <f>RFF!AL22</f>
        <v>2.2000000000000002</v>
      </c>
      <c r="AM19">
        <f>RFF!AM22</f>
        <v>2.6</v>
      </c>
      <c r="AN19">
        <f>RFF!AN22</f>
        <v>2.6</v>
      </c>
      <c r="AO19">
        <f>RFF!AO22</f>
        <v>2.6</v>
      </c>
    </row>
    <row r="20" spans="2:41" x14ac:dyDescent="0.3">
      <c r="B20" s="4" t="s">
        <v>27</v>
      </c>
      <c r="J20">
        <v>0.4</v>
      </c>
      <c r="K20">
        <v>0.4</v>
      </c>
      <c r="L20">
        <v>0.4</v>
      </c>
      <c r="M20">
        <v>0.4</v>
      </c>
      <c r="N20">
        <v>0.4</v>
      </c>
      <c r="O20">
        <v>0.4</v>
      </c>
      <c r="Q20">
        <f>RFF!Q23</f>
        <v>0.8</v>
      </c>
      <c r="R20">
        <f>RFF!R23</f>
        <v>0.8</v>
      </c>
      <c r="S20">
        <f>RFF!S23</f>
        <v>0.8</v>
      </c>
      <c r="T20">
        <f>RFF!T23</f>
        <v>1</v>
      </c>
      <c r="U20">
        <f>RFF!U23</f>
        <v>1.2</v>
      </c>
      <c r="V20">
        <f>RFF!V23</f>
        <v>1.2</v>
      </c>
      <c r="W20">
        <f>RFF!W23</f>
        <v>1.2</v>
      </c>
      <c r="X20">
        <f>RFF!X23</f>
        <v>1.2</v>
      </c>
      <c r="Y20">
        <f>RFF!Y23</f>
        <v>1.2</v>
      </c>
      <c r="Z20">
        <f>RFF!Z23</f>
        <v>1.4</v>
      </c>
      <c r="AA20">
        <f>RFF!AA23</f>
        <v>1.4</v>
      </c>
      <c r="AB20">
        <f>RFF!AB23</f>
        <v>1.4</v>
      </c>
      <c r="AD20">
        <f>RFF!AD23</f>
        <v>2</v>
      </c>
      <c r="AE20">
        <f>RFF!AE23</f>
        <v>2</v>
      </c>
      <c r="AF20">
        <f>RFF!AF23</f>
        <v>2</v>
      </c>
      <c r="AG20">
        <f>RFF!AG23</f>
        <v>2.4</v>
      </c>
      <c r="AH20">
        <f>RFF!AH23</f>
        <v>2.4</v>
      </c>
      <c r="AI20">
        <f>RFF!AI23</f>
        <v>2.4</v>
      </c>
      <c r="AJ20">
        <f>RFF!AJ23</f>
        <v>2.4</v>
      </c>
      <c r="AK20">
        <f>RFF!AK23</f>
        <v>2.4</v>
      </c>
      <c r="AL20">
        <f>RFF!AL23</f>
        <v>2.4</v>
      </c>
      <c r="AM20">
        <f>RFF!AM23</f>
        <v>2.6</v>
      </c>
      <c r="AN20">
        <f>RFF!AN23</f>
        <v>2.6</v>
      </c>
      <c r="AO20">
        <f>RFF!AO23</f>
        <v>2.6</v>
      </c>
    </row>
    <row r="21" spans="2:41" x14ac:dyDescent="0.3">
      <c r="B21" s="4" t="s">
        <v>28</v>
      </c>
      <c r="J21">
        <v>0.4</v>
      </c>
      <c r="K21">
        <v>0.4</v>
      </c>
      <c r="L21">
        <v>0.4</v>
      </c>
      <c r="M21">
        <v>0.4</v>
      </c>
      <c r="N21">
        <v>0.4</v>
      </c>
      <c r="O21">
        <v>0.4</v>
      </c>
      <c r="Q21">
        <f>RFF!Q24</f>
        <v>0.8</v>
      </c>
      <c r="R21">
        <f>RFF!R24</f>
        <v>0.8</v>
      </c>
      <c r="S21">
        <f>RFF!S24</f>
        <v>0.8</v>
      </c>
      <c r="T21">
        <f>RFF!T24</f>
        <v>1.4</v>
      </c>
      <c r="U21">
        <f>RFF!U24</f>
        <v>1.4</v>
      </c>
      <c r="V21">
        <f>RFF!V24</f>
        <v>1.4</v>
      </c>
      <c r="W21">
        <f>RFF!W24</f>
        <v>1.4</v>
      </c>
      <c r="X21">
        <f>RFF!X24</f>
        <v>1.4</v>
      </c>
      <c r="Y21">
        <f>RFF!Y24</f>
        <v>1.4</v>
      </c>
      <c r="Z21">
        <f>RFF!Z24</f>
        <v>1.4</v>
      </c>
      <c r="AA21">
        <f>RFF!AA24</f>
        <v>1.4</v>
      </c>
      <c r="AB21">
        <f>RFF!AB24</f>
        <v>1.4</v>
      </c>
      <c r="AD21">
        <f>RFF!AD24</f>
        <v>2</v>
      </c>
      <c r="AE21">
        <f>RFF!AE24</f>
        <v>2</v>
      </c>
      <c r="AF21">
        <f>RFF!AF24</f>
        <v>2</v>
      </c>
      <c r="AG21">
        <f>RFF!AG24</f>
        <v>2.4</v>
      </c>
      <c r="AH21">
        <f>RFF!AH24</f>
        <v>2.4</v>
      </c>
      <c r="AI21">
        <f>RFF!AI24</f>
        <v>2.4</v>
      </c>
      <c r="AJ21">
        <f>RFF!AJ24</f>
        <v>2.4</v>
      </c>
      <c r="AK21">
        <f>RFF!AK24</f>
        <v>2.4</v>
      </c>
      <c r="AL21">
        <f>RFF!AL24</f>
        <v>2.4</v>
      </c>
      <c r="AM21">
        <f>RFF!AM24</f>
        <v>2.6</v>
      </c>
      <c r="AN21">
        <f>RFF!AN24</f>
        <v>2.6</v>
      </c>
      <c r="AO21">
        <f>RFF!AO24</f>
        <v>2.6</v>
      </c>
    </row>
    <row r="22" spans="2:41" x14ac:dyDescent="0.3">
      <c r="B22" s="4" t="s">
        <v>212</v>
      </c>
      <c r="D22">
        <v>0.4</v>
      </c>
      <c r="E22">
        <v>0.4</v>
      </c>
      <c r="F22">
        <v>0.4</v>
      </c>
      <c r="G22">
        <v>0.4</v>
      </c>
      <c r="H22">
        <v>0.4</v>
      </c>
      <c r="I22">
        <v>0.4</v>
      </c>
      <c r="J22">
        <v>1.4</v>
      </c>
      <c r="K22">
        <v>1.4</v>
      </c>
      <c r="L22">
        <v>1.4</v>
      </c>
      <c r="M22">
        <v>1.4</v>
      </c>
      <c r="N22">
        <v>1.4</v>
      </c>
      <c r="O22">
        <v>1.4</v>
      </c>
      <c r="Q22">
        <f>RFF!Q25</f>
        <v>1</v>
      </c>
      <c r="R22">
        <f>RFF!R25</f>
        <v>1</v>
      </c>
      <c r="S22">
        <f>RFF!S25</f>
        <v>1</v>
      </c>
      <c r="T22">
        <f>RFF!T25</f>
        <v>1.4</v>
      </c>
      <c r="U22">
        <f>RFF!U25</f>
        <v>1.4</v>
      </c>
      <c r="V22">
        <f>RFF!V25</f>
        <v>1.4</v>
      </c>
      <c r="W22">
        <f>RFF!W25</f>
        <v>1.4</v>
      </c>
      <c r="X22">
        <f>RFF!X25</f>
        <v>1.4</v>
      </c>
      <c r="Y22">
        <f>RFF!Y25</f>
        <v>1.4</v>
      </c>
      <c r="Z22">
        <f>RFF!Z25</f>
        <v>1.4</v>
      </c>
      <c r="AA22">
        <f>RFF!AA25</f>
        <v>1.4</v>
      </c>
      <c r="AB22">
        <f>RFF!AB25</f>
        <v>1.4</v>
      </c>
      <c r="AD22">
        <f>RFF!AD25</f>
        <v>2</v>
      </c>
      <c r="AE22">
        <f>RFF!AE25</f>
        <v>2</v>
      </c>
      <c r="AF22">
        <f>RFF!AF25</f>
        <v>2</v>
      </c>
      <c r="AG22">
        <f>RFF!AG25</f>
        <v>2.4</v>
      </c>
      <c r="AH22">
        <f>RFF!AH25</f>
        <v>2.4</v>
      </c>
      <c r="AI22">
        <f>RFF!AI25</f>
        <v>2.4</v>
      </c>
      <c r="AJ22">
        <f>RFF!AJ25</f>
        <v>2.4</v>
      </c>
      <c r="AK22">
        <f>RFF!AK25</f>
        <v>2.4</v>
      </c>
      <c r="AL22">
        <f>RFF!AL25</f>
        <v>2.4</v>
      </c>
      <c r="AM22">
        <f>RFF!AM25</f>
        <v>2.6</v>
      </c>
      <c r="AN22">
        <f>RFF!AN25</f>
        <v>2.6</v>
      </c>
      <c r="AO22">
        <f>RFF!AO25</f>
        <v>2.6</v>
      </c>
    </row>
    <row r="23" spans="2:41" x14ac:dyDescent="0.3">
      <c r="B23" s="4" t="s">
        <v>29</v>
      </c>
      <c r="Q23">
        <f>RFF!Q26</f>
        <v>0</v>
      </c>
      <c r="R23">
        <f>RFF!R26</f>
        <v>0</v>
      </c>
      <c r="S23">
        <f>RFF!S26</f>
        <v>0</v>
      </c>
      <c r="T23">
        <f>RFF!T26</f>
        <v>0</v>
      </c>
      <c r="U23">
        <f>RFF!U26</f>
        <v>0</v>
      </c>
      <c r="V23">
        <f>RFF!V26</f>
        <v>0</v>
      </c>
      <c r="W23">
        <f>RFF!W26</f>
        <v>0</v>
      </c>
      <c r="X23">
        <f>RFF!X26</f>
        <v>0</v>
      </c>
      <c r="Y23">
        <f>RFF!Y26</f>
        <v>0</v>
      </c>
      <c r="Z23">
        <f>RFF!Z26</f>
        <v>0</v>
      </c>
      <c r="AA23">
        <f>RFF!AA26</f>
        <v>0</v>
      </c>
      <c r="AB23">
        <f>RFF!AB26</f>
        <v>0</v>
      </c>
      <c r="AD23">
        <f>RFF!AD26</f>
        <v>0</v>
      </c>
      <c r="AE23">
        <f>RFF!AE26</f>
        <v>0</v>
      </c>
      <c r="AF23">
        <f>RFF!AF26</f>
        <v>0</v>
      </c>
      <c r="AG23">
        <f>RFF!AG26</f>
        <v>0</v>
      </c>
      <c r="AH23">
        <f>RFF!AH26</f>
        <v>0</v>
      </c>
      <c r="AI23">
        <f>RFF!AI26</f>
        <v>0</v>
      </c>
      <c r="AJ23">
        <f>RFF!AJ26</f>
        <v>0</v>
      </c>
      <c r="AK23">
        <f>RFF!AK26</f>
        <v>0</v>
      </c>
      <c r="AL23">
        <f>RFF!AL26</f>
        <v>0</v>
      </c>
      <c r="AM23">
        <f>RFF!AM26</f>
        <v>0</v>
      </c>
      <c r="AN23">
        <f>RFF!AN26</f>
        <v>0</v>
      </c>
      <c r="AO23">
        <f>RFF!AO26</f>
        <v>0</v>
      </c>
    </row>
    <row r="24" spans="2:41" x14ac:dyDescent="0.3">
      <c r="B24" s="4" t="s">
        <v>30</v>
      </c>
      <c r="J24">
        <v>0.4</v>
      </c>
      <c r="K24">
        <v>0.4</v>
      </c>
      <c r="L24">
        <v>1</v>
      </c>
      <c r="M24">
        <v>1</v>
      </c>
      <c r="N24">
        <v>1</v>
      </c>
      <c r="O24">
        <v>1</v>
      </c>
      <c r="Q24">
        <f>RFF!Q27</f>
        <v>1.6</v>
      </c>
      <c r="R24">
        <f>RFF!R27</f>
        <v>1.6</v>
      </c>
      <c r="S24">
        <f>RFF!S27</f>
        <v>1.6</v>
      </c>
      <c r="T24">
        <f>RFF!T27</f>
        <v>2</v>
      </c>
      <c r="U24">
        <f>RFF!U27</f>
        <v>2.4</v>
      </c>
      <c r="V24">
        <f>RFF!V27</f>
        <v>2.4</v>
      </c>
      <c r="W24">
        <f>RFF!W27</f>
        <v>2.4</v>
      </c>
      <c r="X24">
        <f>RFF!X27</f>
        <v>2.4</v>
      </c>
      <c r="Y24">
        <f>RFF!Y27</f>
        <v>2.4</v>
      </c>
      <c r="Z24">
        <f>RFF!Z27</f>
        <v>3</v>
      </c>
      <c r="AA24">
        <f>RFF!AA27</f>
        <v>3</v>
      </c>
      <c r="AB24">
        <f>RFF!AB27</f>
        <v>3</v>
      </c>
      <c r="AD24">
        <f>RFF!AD27</f>
        <v>4</v>
      </c>
      <c r="AE24">
        <f>RFF!AE27</f>
        <v>4</v>
      </c>
      <c r="AF24">
        <f>RFF!AF27</f>
        <v>4</v>
      </c>
      <c r="AG24">
        <f>RFF!AG27</f>
        <v>4.4000000000000004</v>
      </c>
      <c r="AH24">
        <f>RFF!AH27</f>
        <v>4.4000000000000004</v>
      </c>
      <c r="AI24">
        <f>RFF!AI27</f>
        <v>4.4000000000000004</v>
      </c>
      <c r="AJ24">
        <f>RFF!AJ27</f>
        <v>4.4000000000000004</v>
      </c>
      <c r="AK24">
        <f>RFF!AK27</f>
        <v>4.4000000000000004</v>
      </c>
      <c r="AL24">
        <f>RFF!AL27</f>
        <v>4.4000000000000004</v>
      </c>
      <c r="AM24">
        <f>RFF!AM27</f>
        <v>4.5999999999999996</v>
      </c>
      <c r="AN24">
        <f>RFF!AN27</f>
        <v>4.5999999999999996</v>
      </c>
      <c r="AO24">
        <f>RFF!AO27</f>
        <v>4.5999999999999996</v>
      </c>
    </row>
    <row r="25" spans="2:41" x14ac:dyDescent="0.3">
      <c r="B25" s="4" t="s">
        <v>31</v>
      </c>
      <c r="J25">
        <v>0.4</v>
      </c>
      <c r="K25">
        <v>0.4</v>
      </c>
      <c r="L25">
        <v>0.4</v>
      </c>
      <c r="M25">
        <v>0.4</v>
      </c>
      <c r="N25">
        <v>0.4</v>
      </c>
      <c r="O25">
        <v>0.4</v>
      </c>
      <c r="Q25">
        <f>RFF!Q28</f>
        <v>0.4</v>
      </c>
      <c r="R25">
        <f>RFF!R28</f>
        <v>0.4</v>
      </c>
      <c r="S25">
        <f>RFF!S28</f>
        <v>0.4</v>
      </c>
      <c r="T25">
        <f>RFF!T28</f>
        <v>0.4</v>
      </c>
      <c r="U25">
        <f>RFF!U28</f>
        <v>0.4</v>
      </c>
      <c r="V25">
        <f>RFF!V28</f>
        <v>0.4</v>
      </c>
      <c r="W25">
        <f>RFF!W28</f>
        <v>0.4</v>
      </c>
      <c r="X25">
        <f>RFF!X28</f>
        <v>0.4</v>
      </c>
      <c r="Y25">
        <f>RFF!Y28</f>
        <v>0.4</v>
      </c>
      <c r="Z25">
        <f>RFF!Z28</f>
        <v>0.4</v>
      </c>
      <c r="AA25">
        <f>RFF!AA28</f>
        <v>0.4</v>
      </c>
      <c r="AB25">
        <f>RFF!AB28</f>
        <v>0.4</v>
      </c>
      <c r="AD25">
        <f>RFF!AD28</f>
        <v>0.4</v>
      </c>
      <c r="AE25">
        <f>RFF!AE28</f>
        <v>0.4</v>
      </c>
      <c r="AF25">
        <f>RFF!AF28</f>
        <v>0.4</v>
      </c>
      <c r="AG25">
        <f>RFF!AG28</f>
        <v>0.4</v>
      </c>
      <c r="AH25">
        <f>RFF!AH28</f>
        <v>0.4</v>
      </c>
      <c r="AI25">
        <f>RFF!AI28</f>
        <v>0.4</v>
      </c>
      <c r="AJ25">
        <f>RFF!AJ28</f>
        <v>0.4</v>
      </c>
      <c r="AK25">
        <f>RFF!AK28</f>
        <v>0.4</v>
      </c>
      <c r="AL25">
        <f>RFF!AL28</f>
        <v>0.4</v>
      </c>
      <c r="AM25">
        <f>RFF!AM28</f>
        <v>0.4</v>
      </c>
      <c r="AN25">
        <f>RFF!AN28</f>
        <v>0.4</v>
      </c>
      <c r="AO25">
        <f>RFF!AO28</f>
        <v>0.4</v>
      </c>
    </row>
    <row r="28" spans="2:41" x14ac:dyDescent="0.3">
      <c r="B28" s="2" t="s">
        <v>135</v>
      </c>
      <c r="D28" s="12">
        <f>SUM(D29:D38)</f>
        <v>13933.126666666667</v>
      </c>
      <c r="E28" s="12">
        <f t="shared" ref="E28:Q28" si="9">SUM(E29:E38)</f>
        <v>13933.126666666667</v>
      </c>
      <c r="F28" s="12">
        <f t="shared" si="9"/>
        <v>13933.126666666667</v>
      </c>
      <c r="G28" s="12">
        <f t="shared" si="9"/>
        <v>13933.126666666667</v>
      </c>
      <c r="H28" s="12">
        <f t="shared" si="9"/>
        <v>13933.126666666667</v>
      </c>
      <c r="I28" s="12">
        <f t="shared" si="9"/>
        <v>13933.126666666667</v>
      </c>
      <c r="J28" s="12">
        <f t="shared" si="9"/>
        <v>42912.216666666667</v>
      </c>
      <c r="K28" s="12">
        <f t="shared" si="9"/>
        <v>42912.216666666667</v>
      </c>
      <c r="L28" s="12">
        <f t="shared" si="9"/>
        <v>45738.996666666666</v>
      </c>
      <c r="M28" s="12">
        <f t="shared" si="9"/>
        <v>45738.996666666666</v>
      </c>
      <c r="N28" s="12">
        <f t="shared" si="9"/>
        <v>45738.996666666666</v>
      </c>
      <c r="O28" s="12">
        <f t="shared" si="9"/>
        <v>45738.996666666666</v>
      </c>
      <c r="Q28" s="12">
        <f t="shared" si="9"/>
        <v>65524.052033333341</v>
      </c>
      <c r="R28" s="12">
        <f t="shared" ref="R28" si="10">SUM(R29:R38)</f>
        <v>65524.052033333341</v>
      </c>
      <c r="S28" s="12">
        <f t="shared" ref="S28" si="11">SUM(S29:S38)</f>
        <v>65524.052033333341</v>
      </c>
      <c r="T28" s="12">
        <f t="shared" ref="T28" si="12">SUM(T29:T38)</f>
        <v>85998.682033333345</v>
      </c>
      <c r="U28" s="12">
        <f t="shared" ref="U28" si="13">SUM(U29:U38)</f>
        <v>98121.552566666665</v>
      </c>
      <c r="V28" s="12">
        <f t="shared" ref="V28" si="14">SUM(V29:V38)</f>
        <v>98121.552566666665</v>
      </c>
      <c r="W28" s="12">
        <f t="shared" ref="W28" si="15">SUM(W29:W38)</f>
        <v>98121.552566666665</v>
      </c>
      <c r="X28" s="12">
        <f t="shared" ref="X28" si="16">SUM(X29:X38)</f>
        <v>98121.552566666665</v>
      </c>
      <c r="Y28" s="12">
        <f t="shared" ref="Y28" si="17">SUM(Y29:Y38)</f>
        <v>100553.21923333334</v>
      </c>
      <c r="Z28" s="12">
        <f t="shared" ref="Z28" si="18">SUM(Z29:Z38)</f>
        <v>108781.78423333334</v>
      </c>
      <c r="AA28" s="12">
        <f t="shared" ref="AA28" si="19">SUM(AA29:AA38)</f>
        <v>108781.78423333334</v>
      </c>
      <c r="AB28" s="12">
        <f t="shared" ref="AB28" si="20">SUM(AB29:AB38)</f>
        <v>108781.78423333334</v>
      </c>
      <c r="AD28" s="12">
        <f t="shared" ref="AD28:AO28" si="21">SUM(AD29:AD38)</f>
        <v>155920.18773333333</v>
      </c>
      <c r="AE28" s="12">
        <f t="shared" si="21"/>
        <v>155920.18773333333</v>
      </c>
      <c r="AF28" s="12">
        <f t="shared" si="21"/>
        <v>155920.18773333333</v>
      </c>
      <c r="AG28" s="12">
        <f t="shared" si="21"/>
        <v>176098.0122</v>
      </c>
      <c r="AH28" s="12">
        <f t="shared" si="21"/>
        <v>176098.0122</v>
      </c>
      <c r="AI28" s="12">
        <f t="shared" si="21"/>
        <v>176098.0122</v>
      </c>
      <c r="AJ28" s="12">
        <f t="shared" si="21"/>
        <v>176098.0122</v>
      </c>
      <c r="AK28" s="12">
        <f t="shared" si="21"/>
        <v>176098.0122</v>
      </c>
      <c r="AL28" s="12">
        <f t="shared" si="21"/>
        <v>176098.0122</v>
      </c>
      <c r="AM28" s="12">
        <f t="shared" si="21"/>
        <v>196257.2023</v>
      </c>
      <c r="AN28" s="12">
        <f t="shared" si="21"/>
        <v>196257.2023</v>
      </c>
      <c r="AO28" s="12">
        <f t="shared" si="21"/>
        <v>196257.2023</v>
      </c>
    </row>
    <row r="29" spans="2:41" x14ac:dyDescent="0.3">
      <c r="B29" s="2" t="s">
        <v>178</v>
      </c>
      <c r="D29" s="6">
        <f t="shared" ref="D29:O29" si="22">SUMPRODUCT(D$17:D$25,$E4:$E12)</f>
        <v>2600</v>
      </c>
      <c r="E29" s="6">
        <f t="shared" si="22"/>
        <v>2600</v>
      </c>
      <c r="F29" s="6">
        <f t="shared" si="22"/>
        <v>2600</v>
      </c>
      <c r="G29" s="6">
        <f t="shared" si="22"/>
        <v>2600</v>
      </c>
      <c r="H29" s="6">
        <f t="shared" si="22"/>
        <v>2600</v>
      </c>
      <c r="I29" s="6">
        <f t="shared" si="22"/>
        <v>2600</v>
      </c>
      <c r="J29" s="6">
        <f t="shared" si="22"/>
        <v>20500</v>
      </c>
      <c r="K29" s="6">
        <f t="shared" si="22"/>
        <v>20500</v>
      </c>
      <c r="L29" s="6">
        <f t="shared" si="22"/>
        <v>22300</v>
      </c>
      <c r="M29" s="6">
        <f t="shared" si="22"/>
        <v>22300</v>
      </c>
      <c r="N29" s="6">
        <f t="shared" si="22"/>
        <v>22300</v>
      </c>
      <c r="O29" s="6">
        <f t="shared" si="22"/>
        <v>22300</v>
      </c>
      <c r="Q29" s="6">
        <f>SUMPRODUCT(Q$17:Q$25,$E4:$E12)*1.03</f>
        <v>30797</v>
      </c>
      <c r="R29" s="6">
        <f t="shared" ref="R29:AB29" si="23">SUMPRODUCT(R$17:R$25,$E4:$E12)*1.03</f>
        <v>30797</v>
      </c>
      <c r="S29" s="6">
        <f t="shared" si="23"/>
        <v>30797</v>
      </c>
      <c r="T29" s="6">
        <f t="shared" si="23"/>
        <v>41097</v>
      </c>
      <c r="U29" s="6">
        <f t="shared" si="23"/>
        <v>45629</v>
      </c>
      <c r="V29" s="6">
        <f t="shared" si="23"/>
        <v>45629</v>
      </c>
      <c r="W29" s="6">
        <f t="shared" si="23"/>
        <v>45629</v>
      </c>
      <c r="X29" s="6">
        <f t="shared" si="23"/>
        <v>45629</v>
      </c>
      <c r="Y29" s="6">
        <f t="shared" si="23"/>
        <v>45629</v>
      </c>
      <c r="Z29" s="6">
        <f t="shared" si="23"/>
        <v>50779</v>
      </c>
      <c r="AA29" s="6">
        <f t="shared" si="23"/>
        <v>50779</v>
      </c>
      <c r="AB29" s="6">
        <f t="shared" si="23"/>
        <v>50779</v>
      </c>
      <c r="AD29" s="6">
        <f>SUMPRODUCT(AD$17:AD$25,$E4:$E12)*1.03</f>
        <v>70864</v>
      </c>
      <c r="AE29" s="6">
        <f t="shared" ref="AE29:AO29" si="24">SUMPRODUCT(AE$17:AE$25,$E4:$E12)*1.03</f>
        <v>70864</v>
      </c>
      <c r="AF29" s="6">
        <f t="shared" si="24"/>
        <v>70864</v>
      </c>
      <c r="AG29" s="6">
        <f t="shared" si="24"/>
        <v>81782</v>
      </c>
      <c r="AH29" s="6">
        <f t="shared" si="24"/>
        <v>81782</v>
      </c>
      <c r="AI29" s="6">
        <f t="shared" si="24"/>
        <v>81782</v>
      </c>
      <c r="AJ29" s="6">
        <f t="shared" si="24"/>
        <v>81782</v>
      </c>
      <c r="AK29" s="6">
        <f t="shared" si="24"/>
        <v>81782</v>
      </c>
      <c r="AL29" s="6">
        <f t="shared" si="24"/>
        <v>81782</v>
      </c>
      <c r="AM29" s="6">
        <f t="shared" si="24"/>
        <v>89713</v>
      </c>
      <c r="AN29" s="6">
        <f t="shared" si="24"/>
        <v>89713</v>
      </c>
      <c r="AO29" s="6">
        <f t="shared" si="24"/>
        <v>89713</v>
      </c>
    </row>
    <row r="30" spans="2:41" x14ac:dyDescent="0.3">
      <c r="B30" s="2" t="s">
        <v>139</v>
      </c>
      <c r="D30" s="6">
        <f t="shared" ref="D30:O30" si="25">SUMPRODUCT(D$17:D$25,$F4:$F12)</f>
        <v>208</v>
      </c>
      <c r="E30" s="6">
        <f t="shared" si="25"/>
        <v>208</v>
      </c>
      <c r="F30" s="6">
        <f t="shared" si="25"/>
        <v>208</v>
      </c>
      <c r="G30" s="6">
        <f t="shared" si="25"/>
        <v>208</v>
      </c>
      <c r="H30" s="6">
        <f t="shared" si="25"/>
        <v>208</v>
      </c>
      <c r="I30" s="6">
        <f t="shared" si="25"/>
        <v>208</v>
      </c>
      <c r="J30" s="6">
        <f t="shared" si="25"/>
        <v>1640</v>
      </c>
      <c r="K30" s="6">
        <f t="shared" si="25"/>
        <v>1640</v>
      </c>
      <c r="L30" s="6">
        <f t="shared" si="25"/>
        <v>1784</v>
      </c>
      <c r="M30" s="6">
        <f t="shared" si="25"/>
        <v>1784</v>
      </c>
      <c r="N30" s="6">
        <f t="shared" si="25"/>
        <v>1784</v>
      </c>
      <c r="O30" s="6">
        <f t="shared" si="25"/>
        <v>1784</v>
      </c>
      <c r="Q30" s="6">
        <f>SUMPRODUCT(Q$17:Q$25,$F4:$F12)*1.03</f>
        <v>2463.7600000000002</v>
      </c>
      <c r="R30" s="6">
        <f t="shared" ref="R30:AB30" si="26">SUMPRODUCT(R$17:R$25,$F4:$F12)*1.03</f>
        <v>2463.7600000000002</v>
      </c>
      <c r="S30" s="6">
        <f t="shared" si="26"/>
        <v>2463.7600000000002</v>
      </c>
      <c r="T30" s="6">
        <f t="shared" si="26"/>
        <v>3287.76</v>
      </c>
      <c r="U30" s="6">
        <f t="shared" si="26"/>
        <v>3650.32</v>
      </c>
      <c r="V30" s="6">
        <f t="shared" si="26"/>
        <v>3650.32</v>
      </c>
      <c r="W30" s="6">
        <f t="shared" si="26"/>
        <v>3650.32</v>
      </c>
      <c r="X30" s="6">
        <f t="shared" si="26"/>
        <v>3650.32</v>
      </c>
      <c r="Y30" s="6">
        <f t="shared" si="26"/>
        <v>3650.32</v>
      </c>
      <c r="Z30" s="6">
        <f t="shared" si="26"/>
        <v>4062.32</v>
      </c>
      <c r="AA30" s="6">
        <f t="shared" si="26"/>
        <v>4062.32</v>
      </c>
      <c r="AB30" s="6">
        <f t="shared" si="26"/>
        <v>4062.32</v>
      </c>
      <c r="AD30" s="6">
        <f>SUMPRODUCT(AD$17:AD$25,$F4:$F12)*1.03</f>
        <v>5669.12</v>
      </c>
      <c r="AE30" s="6">
        <f t="shared" ref="AE30:AO30" si="27">SUMPRODUCT(AE$17:AE$25,$F4:$F12)*1.03</f>
        <v>5669.12</v>
      </c>
      <c r="AF30" s="6">
        <f t="shared" si="27"/>
        <v>5669.12</v>
      </c>
      <c r="AG30" s="6">
        <f t="shared" si="27"/>
        <v>6542.56</v>
      </c>
      <c r="AH30" s="6">
        <f t="shared" si="27"/>
        <v>6542.56</v>
      </c>
      <c r="AI30" s="6">
        <f t="shared" si="27"/>
        <v>6542.56</v>
      </c>
      <c r="AJ30" s="6">
        <f t="shared" si="27"/>
        <v>6542.56</v>
      </c>
      <c r="AK30" s="6">
        <f t="shared" si="27"/>
        <v>6542.56</v>
      </c>
      <c r="AL30" s="6">
        <f t="shared" si="27"/>
        <v>6542.56</v>
      </c>
      <c r="AM30" s="6">
        <f t="shared" si="27"/>
        <v>7177.04</v>
      </c>
      <c r="AN30" s="6">
        <f t="shared" si="27"/>
        <v>7177.04</v>
      </c>
      <c r="AO30" s="6">
        <f t="shared" si="27"/>
        <v>7177.04</v>
      </c>
    </row>
    <row r="31" spans="2:41" x14ac:dyDescent="0.3">
      <c r="B31" s="2" t="s">
        <v>161</v>
      </c>
      <c r="D31" s="6">
        <f t="shared" ref="D31:O31" si="28">SUMPRODUCT(D$17:D$25,$G4:$G12)</f>
        <v>883.33333333333337</v>
      </c>
      <c r="E31" s="6">
        <f t="shared" si="28"/>
        <v>883.33333333333337</v>
      </c>
      <c r="F31" s="6">
        <f t="shared" si="28"/>
        <v>883.33333333333337</v>
      </c>
      <c r="G31" s="6">
        <f t="shared" si="28"/>
        <v>883.33333333333337</v>
      </c>
      <c r="H31" s="6">
        <f t="shared" si="28"/>
        <v>883.33333333333337</v>
      </c>
      <c r="I31" s="6">
        <f t="shared" si="28"/>
        <v>883.33333333333337</v>
      </c>
      <c r="J31" s="6">
        <f t="shared" si="28"/>
        <v>2375</v>
      </c>
      <c r="K31" s="6">
        <f t="shared" si="28"/>
        <v>2375</v>
      </c>
      <c r="L31" s="6">
        <f t="shared" si="28"/>
        <v>2525</v>
      </c>
      <c r="M31" s="6">
        <f t="shared" si="28"/>
        <v>2525</v>
      </c>
      <c r="N31" s="6">
        <f t="shared" si="28"/>
        <v>2525</v>
      </c>
      <c r="O31" s="6">
        <f t="shared" si="28"/>
        <v>2525</v>
      </c>
      <c r="Q31" s="6">
        <f>SUMPRODUCT(Q$17:Q$25,$G4:$G12)*1.03</f>
        <v>3682.2500000000005</v>
      </c>
      <c r="R31" s="6">
        <f t="shared" ref="R31:AB31" si="29">SUMPRODUCT(R$17:R$25,$G4:$G12)*1.03</f>
        <v>3682.2500000000005</v>
      </c>
      <c r="S31" s="6">
        <f t="shared" si="29"/>
        <v>3682.2500000000005</v>
      </c>
      <c r="T31" s="6">
        <f t="shared" si="29"/>
        <v>4798.083333333333</v>
      </c>
      <c r="U31" s="6">
        <f t="shared" si="29"/>
        <v>5519.083333333333</v>
      </c>
      <c r="V31" s="6">
        <f t="shared" si="29"/>
        <v>5519.083333333333</v>
      </c>
      <c r="W31" s="6">
        <f t="shared" si="29"/>
        <v>5519.083333333333</v>
      </c>
      <c r="X31" s="6">
        <f t="shared" si="29"/>
        <v>5519.083333333333</v>
      </c>
      <c r="Y31" s="6">
        <f t="shared" si="29"/>
        <v>5690.75</v>
      </c>
      <c r="Z31" s="6">
        <f t="shared" si="29"/>
        <v>6119.9166666666661</v>
      </c>
      <c r="AA31" s="6">
        <f t="shared" si="29"/>
        <v>6119.9166666666661</v>
      </c>
      <c r="AB31" s="6">
        <f t="shared" si="29"/>
        <v>6119.9166666666661</v>
      </c>
      <c r="AD31" s="6">
        <f>SUMPRODUCT(AD$17:AD$25,$G4:$G12)*1.03</f>
        <v>8823.6666666666661</v>
      </c>
      <c r="AE31" s="6">
        <f t="shared" ref="AE31:AO31" si="30">SUMPRODUCT(AE$17:AE$25,$G4:$G12)*1.03</f>
        <v>8823.6666666666661</v>
      </c>
      <c r="AF31" s="6">
        <f t="shared" si="30"/>
        <v>8823.6666666666661</v>
      </c>
      <c r="AG31" s="6">
        <f t="shared" si="30"/>
        <v>9905.1666666666661</v>
      </c>
      <c r="AH31" s="6">
        <f t="shared" si="30"/>
        <v>9905.1666666666661</v>
      </c>
      <c r="AI31" s="6">
        <f t="shared" si="30"/>
        <v>9905.1666666666661</v>
      </c>
      <c r="AJ31" s="6">
        <f t="shared" si="30"/>
        <v>9905.1666666666661</v>
      </c>
      <c r="AK31" s="6">
        <f t="shared" si="30"/>
        <v>9905.1666666666661</v>
      </c>
      <c r="AL31" s="6">
        <f t="shared" si="30"/>
        <v>9905.1666666666661</v>
      </c>
      <c r="AM31" s="6">
        <f t="shared" si="30"/>
        <v>11081.083333333334</v>
      </c>
      <c r="AN31" s="6">
        <f t="shared" si="30"/>
        <v>11081.083333333334</v>
      </c>
      <c r="AO31" s="6">
        <f t="shared" si="30"/>
        <v>11081.083333333334</v>
      </c>
    </row>
    <row r="32" spans="2:41" x14ac:dyDescent="0.3">
      <c r="B32" s="2" t="s">
        <v>142</v>
      </c>
      <c r="D32" s="6">
        <f t="shared" ref="D32:O32" si="31">SUMPRODUCT(D$17:D$25,$H4:$H12)</f>
        <v>208</v>
      </c>
      <c r="E32" s="6">
        <f t="shared" si="31"/>
        <v>208</v>
      </c>
      <c r="F32" s="6">
        <f t="shared" si="31"/>
        <v>208</v>
      </c>
      <c r="G32" s="6">
        <f t="shared" si="31"/>
        <v>208</v>
      </c>
      <c r="H32" s="6">
        <f t="shared" si="31"/>
        <v>208</v>
      </c>
      <c r="I32" s="6">
        <f t="shared" si="31"/>
        <v>208</v>
      </c>
      <c r="J32" s="6">
        <f t="shared" si="31"/>
        <v>1640</v>
      </c>
      <c r="K32" s="6">
        <f t="shared" si="31"/>
        <v>1640</v>
      </c>
      <c r="L32" s="6">
        <f t="shared" si="31"/>
        <v>1784</v>
      </c>
      <c r="M32" s="6">
        <f t="shared" si="31"/>
        <v>1784</v>
      </c>
      <c r="N32" s="6">
        <f t="shared" si="31"/>
        <v>1784</v>
      </c>
      <c r="O32" s="6">
        <f t="shared" si="31"/>
        <v>1784</v>
      </c>
      <c r="Q32" s="6">
        <f>SUMPRODUCT(Q$17:Q$25,$H4:$H12)*1.03</f>
        <v>2463.7600000000002</v>
      </c>
      <c r="R32" s="6">
        <f t="shared" ref="R32:AB32" si="32">SUMPRODUCT(R$17:R$25,$H4:$H12)*1.03</f>
        <v>2463.7600000000002</v>
      </c>
      <c r="S32" s="6">
        <f t="shared" si="32"/>
        <v>2463.7600000000002</v>
      </c>
      <c r="T32" s="6">
        <f t="shared" si="32"/>
        <v>3287.76</v>
      </c>
      <c r="U32" s="6">
        <f t="shared" si="32"/>
        <v>3650.32</v>
      </c>
      <c r="V32" s="6">
        <f t="shared" si="32"/>
        <v>3650.32</v>
      </c>
      <c r="W32" s="6">
        <f t="shared" si="32"/>
        <v>3650.32</v>
      </c>
      <c r="X32" s="6">
        <f t="shared" si="32"/>
        <v>3650.32</v>
      </c>
      <c r="Y32" s="6">
        <f t="shared" si="32"/>
        <v>3650.32</v>
      </c>
      <c r="Z32" s="6">
        <f t="shared" si="32"/>
        <v>4062.32</v>
      </c>
      <c r="AA32" s="6">
        <f t="shared" si="32"/>
        <v>4062.32</v>
      </c>
      <c r="AB32" s="6">
        <f t="shared" si="32"/>
        <v>4062.32</v>
      </c>
      <c r="AD32" s="6">
        <f>SUMPRODUCT(AD$17:AD$25,$H4:$H12)*1.03</f>
        <v>5669.12</v>
      </c>
      <c r="AE32" s="6">
        <f t="shared" ref="AE32:AO32" si="33">SUMPRODUCT(AE$17:AE$25,$H4:$H12)*1.03</f>
        <v>5669.12</v>
      </c>
      <c r="AF32" s="6">
        <f t="shared" si="33"/>
        <v>5669.12</v>
      </c>
      <c r="AG32" s="6">
        <f t="shared" si="33"/>
        <v>6542.56</v>
      </c>
      <c r="AH32" s="6">
        <f t="shared" si="33"/>
        <v>6542.56</v>
      </c>
      <c r="AI32" s="6">
        <f t="shared" si="33"/>
        <v>6542.56</v>
      </c>
      <c r="AJ32" s="6">
        <f t="shared" si="33"/>
        <v>6542.56</v>
      </c>
      <c r="AK32" s="6">
        <f t="shared" si="33"/>
        <v>6542.56</v>
      </c>
      <c r="AL32" s="6">
        <f t="shared" si="33"/>
        <v>6542.56</v>
      </c>
      <c r="AM32" s="6">
        <f t="shared" si="33"/>
        <v>7177.04</v>
      </c>
      <c r="AN32" s="6">
        <f t="shared" si="33"/>
        <v>7177.04</v>
      </c>
      <c r="AO32" s="6">
        <f t="shared" si="33"/>
        <v>7177.04</v>
      </c>
    </row>
    <row r="33" spans="2:41" x14ac:dyDescent="0.3">
      <c r="B33" s="2" t="s">
        <v>141</v>
      </c>
      <c r="D33" s="6">
        <f t="shared" ref="D33:O33" si="34">SUMPRODUCT(D$17:D$25,$I4:$I12)</f>
        <v>549.5533333333334</v>
      </c>
      <c r="E33" s="6">
        <f t="shared" si="34"/>
        <v>549.5533333333334</v>
      </c>
      <c r="F33" s="6">
        <f t="shared" si="34"/>
        <v>549.5533333333334</v>
      </c>
      <c r="G33" s="6">
        <f t="shared" si="34"/>
        <v>549.5533333333334</v>
      </c>
      <c r="H33" s="6">
        <f t="shared" si="34"/>
        <v>549.5533333333334</v>
      </c>
      <c r="I33" s="6">
        <f t="shared" si="34"/>
        <v>549.5533333333334</v>
      </c>
      <c r="J33" s="6">
        <f t="shared" si="34"/>
        <v>4333.0166666666664</v>
      </c>
      <c r="K33" s="6">
        <f t="shared" si="34"/>
        <v>4333.0166666666664</v>
      </c>
      <c r="L33" s="6">
        <f t="shared" si="34"/>
        <v>4713.4766666666674</v>
      </c>
      <c r="M33" s="6">
        <f t="shared" si="34"/>
        <v>4713.4766666666674</v>
      </c>
      <c r="N33" s="6">
        <f t="shared" si="34"/>
        <v>4713.4766666666674</v>
      </c>
      <c r="O33" s="6">
        <f t="shared" si="34"/>
        <v>4713.4766666666674</v>
      </c>
      <c r="Q33" s="6">
        <f>SUMPRODUCT(Q$17:Q$25,$I4:$I12)*1.03</f>
        <v>6509.4592333333349</v>
      </c>
      <c r="R33" s="6">
        <f t="shared" ref="R33:AB33" si="35">SUMPRODUCT(R$17:R$25,$I4:$I12)*1.03</f>
        <v>6509.4592333333349</v>
      </c>
      <c r="S33" s="6">
        <f t="shared" si="35"/>
        <v>6509.4592333333349</v>
      </c>
      <c r="T33" s="6">
        <f t="shared" si="35"/>
        <v>8686.5358999999989</v>
      </c>
      <c r="U33" s="6">
        <f t="shared" si="35"/>
        <v>9644.4496333333318</v>
      </c>
      <c r="V33" s="6">
        <f t="shared" si="35"/>
        <v>9644.4496333333318</v>
      </c>
      <c r="W33" s="6">
        <f t="shared" si="35"/>
        <v>9644.4496333333318</v>
      </c>
      <c r="X33" s="6">
        <f t="shared" si="35"/>
        <v>9644.4496333333318</v>
      </c>
      <c r="Y33" s="6">
        <f t="shared" si="35"/>
        <v>9644.4496333333318</v>
      </c>
      <c r="Z33" s="6">
        <f t="shared" si="35"/>
        <v>10732.987966666667</v>
      </c>
      <c r="AA33" s="6">
        <f t="shared" si="35"/>
        <v>10732.987966666667</v>
      </c>
      <c r="AB33" s="6">
        <f t="shared" si="35"/>
        <v>10732.987966666667</v>
      </c>
      <c r="AD33" s="6">
        <f>SUMPRODUCT(AD$17:AD$25,$I4:$I12)*1.03</f>
        <v>14978.287466666668</v>
      </c>
      <c r="AE33" s="6">
        <f t="shared" ref="AE33:AO33" si="36">SUMPRODUCT(AE$17:AE$25,$I4:$I12)*1.03</f>
        <v>14978.287466666668</v>
      </c>
      <c r="AF33" s="6">
        <f t="shared" si="36"/>
        <v>14978.287466666668</v>
      </c>
      <c r="AG33" s="6">
        <f t="shared" si="36"/>
        <v>17285.988733333332</v>
      </c>
      <c r="AH33" s="6">
        <f t="shared" si="36"/>
        <v>17285.988733333332</v>
      </c>
      <c r="AI33" s="6">
        <f t="shared" si="36"/>
        <v>17285.988733333332</v>
      </c>
      <c r="AJ33" s="6">
        <f t="shared" si="36"/>
        <v>17285.988733333332</v>
      </c>
      <c r="AK33" s="6">
        <f t="shared" si="36"/>
        <v>17285.988733333332</v>
      </c>
      <c r="AL33" s="6">
        <f t="shared" si="36"/>
        <v>17285.988733333332</v>
      </c>
      <c r="AM33" s="6">
        <f t="shared" si="36"/>
        <v>18962.337766666671</v>
      </c>
      <c r="AN33" s="6">
        <f t="shared" si="36"/>
        <v>18962.337766666671</v>
      </c>
      <c r="AO33" s="6">
        <f t="shared" si="36"/>
        <v>18962.337766666671</v>
      </c>
    </row>
    <row r="34" spans="2:41" x14ac:dyDescent="0.3">
      <c r="B34" s="2" t="s">
        <v>162</v>
      </c>
      <c r="D34" s="6">
        <f t="shared" ref="D34:O34" si="37">SUMPRODUCT(D$17:D$25,$L4:$L12)</f>
        <v>100</v>
      </c>
      <c r="E34" s="6">
        <f t="shared" si="37"/>
        <v>100</v>
      </c>
      <c r="F34" s="6">
        <f t="shared" si="37"/>
        <v>100</v>
      </c>
      <c r="G34" s="6">
        <f t="shared" si="37"/>
        <v>100</v>
      </c>
      <c r="H34" s="6">
        <f t="shared" si="37"/>
        <v>100</v>
      </c>
      <c r="I34" s="6">
        <f t="shared" si="37"/>
        <v>100</v>
      </c>
      <c r="J34" s="6">
        <f t="shared" si="37"/>
        <v>250</v>
      </c>
      <c r="K34" s="6">
        <f t="shared" si="37"/>
        <v>250</v>
      </c>
      <c r="L34" s="6">
        <f t="shared" si="37"/>
        <v>280</v>
      </c>
      <c r="M34" s="6">
        <f t="shared" si="37"/>
        <v>280</v>
      </c>
      <c r="N34" s="6">
        <f t="shared" si="37"/>
        <v>280</v>
      </c>
      <c r="O34" s="6">
        <f t="shared" si="37"/>
        <v>280</v>
      </c>
      <c r="Q34" s="6">
        <f>SUMPRODUCT(Q$17:Q$25,$L4:$L12)</f>
        <v>400</v>
      </c>
      <c r="R34" s="6">
        <f t="shared" ref="R34:AB34" si="38">SUMPRODUCT(R$17:R$25,$L4:$L12)</f>
        <v>400</v>
      </c>
      <c r="S34" s="6">
        <f t="shared" si="38"/>
        <v>400</v>
      </c>
      <c r="T34" s="6">
        <f t="shared" si="38"/>
        <v>520</v>
      </c>
      <c r="U34" s="6">
        <f t="shared" si="38"/>
        <v>600</v>
      </c>
      <c r="V34" s="6">
        <f t="shared" si="38"/>
        <v>600</v>
      </c>
      <c r="W34" s="6">
        <f t="shared" si="38"/>
        <v>600</v>
      </c>
      <c r="X34" s="6">
        <f t="shared" si="38"/>
        <v>600</v>
      </c>
      <c r="Y34" s="6">
        <f t="shared" si="38"/>
        <v>620</v>
      </c>
      <c r="Z34" s="6">
        <f t="shared" si="38"/>
        <v>670</v>
      </c>
      <c r="AA34" s="6">
        <f t="shared" si="38"/>
        <v>670</v>
      </c>
      <c r="AB34" s="6">
        <f t="shared" si="38"/>
        <v>670</v>
      </c>
      <c r="AD34" s="6">
        <f>SUMPRODUCT(AD$17:AD$25,$L4:$L12)</f>
        <v>960</v>
      </c>
      <c r="AE34" s="6">
        <f t="shared" ref="AE34:AO34" si="39">SUMPRODUCT(AE$17:AE$25,$L4:$L12)</f>
        <v>960</v>
      </c>
      <c r="AF34" s="6">
        <f t="shared" si="39"/>
        <v>960</v>
      </c>
      <c r="AG34" s="6">
        <f t="shared" si="39"/>
        <v>1070</v>
      </c>
      <c r="AH34" s="6">
        <f t="shared" si="39"/>
        <v>1070</v>
      </c>
      <c r="AI34" s="6">
        <f t="shared" si="39"/>
        <v>1070</v>
      </c>
      <c r="AJ34" s="6">
        <f t="shared" si="39"/>
        <v>1070</v>
      </c>
      <c r="AK34" s="6">
        <f t="shared" si="39"/>
        <v>1070</v>
      </c>
      <c r="AL34" s="6">
        <f t="shared" si="39"/>
        <v>1070</v>
      </c>
      <c r="AM34" s="6">
        <f t="shared" si="39"/>
        <v>1190</v>
      </c>
      <c r="AN34" s="6">
        <f t="shared" si="39"/>
        <v>1190</v>
      </c>
      <c r="AO34" s="6">
        <f t="shared" si="39"/>
        <v>1190</v>
      </c>
    </row>
    <row r="35" spans="2:41" x14ac:dyDescent="0.3">
      <c r="B35" s="2" t="s">
        <v>179</v>
      </c>
      <c r="D35" s="6">
        <f>0.03*SUM(D29:D30)</f>
        <v>84.24</v>
      </c>
      <c r="E35" s="6">
        <f t="shared" ref="E35:O35" si="40">0.03*SUM(E29:E30)</f>
        <v>84.24</v>
      </c>
      <c r="F35" s="6">
        <f t="shared" si="40"/>
        <v>84.24</v>
      </c>
      <c r="G35" s="6">
        <f t="shared" si="40"/>
        <v>84.24</v>
      </c>
      <c r="H35" s="6">
        <f t="shared" si="40"/>
        <v>84.24</v>
      </c>
      <c r="I35" s="6">
        <f t="shared" si="40"/>
        <v>84.24</v>
      </c>
      <c r="J35" s="6">
        <f t="shared" si="40"/>
        <v>664.19999999999993</v>
      </c>
      <c r="K35" s="6">
        <f t="shared" si="40"/>
        <v>664.19999999999993</v>
      </c>
      <c r="L35" s="6">
        <f t="shared" si="40"/>
        <v>722.52</v>
      </c>
      <c r="M35" s="6">
        <f t="shared" si="40"/>
        <v>722.52</v>
      </c>
      <c r="N35" s="6">
        <f t="shared" si="40"/>
        <v>722.52</v>
      </c>
      <c r="O35" s="6">
        <f t="shared" si="40"/>
        <v>722.52</v>
      </c>
      <c r="Q35" s="6">
        <f t="shared" ref="Q35:AB35" si="41">0.03*SUM(Q29:Q30)</f>
        <v>997.82280000000003</v>
      </c>
      <c r="R35" s="6">
        <f t="shared" si="41"/>
        <v>997.82280000000003</v>
      </c>
      <c r="S35" s="6">
        <f t="shared" si="41"/>
        <v>997.82280000000003</v>
      </c>
      <c r="T35" s="6">
        <f t="shared" si="41"/>
        <v>1331.5427999999999</v>
      </c>
      <c r="U35" s="6">
        <f t="shared" si="41"/>
        <v>1478.3796</v>
      </c>
      <c r="V35" s="6">
        <f t="shared" si="41"/>
        <v>1478.3796</v>
      </c>
      <c r="W35" s="6">
        <f t="shared" si="41"/>
        <v>1478.3796</v>
      </c>
      <c r="X35" s="6">
        <f t="shared" si="41"/>
        <v>1478.3796</v>
      </c>
      <c r="Y35" s="6">
        <f t="shared" si="41"/>
        <v>1478.3796</v>
      </c>
      <c r="Z35" s="6">
        <f t="shared" si="41"/>
        <v>1645.2395999999999</v>
      </c>
      <c r="AA35" s="6">
        <f t="shared" si="41"/>
        <v>1645.2395999999999</v>
      </c>
      <c r="AB35" s="6">
        <f t="shared" si="41"/>
        <v>1645.2395999999999</v>
      </c>
      <c r="AD35" s="6">
        <f t="shared" ref="AD35:AO35" si="42">0.03*SUM(AD29:AD30)</f>
        <v>2295.9935999999998</v>
      </c>
      <c r="AE35" s="6">
        <f t="shared" si="42"/>
        <v>2295.9935999999998</v>
      </c>
      <c r="AF35" s="6">
        <f t="shared" si="42"/>
        <v>2295.9935999999998</v>
      </c>
      <c r="AG35" s="6">
        <f t="shared" si="42"/>
        <v>2649.7367999999997</v>
      </c>
      <c r="AH35" s="6">
        <f t="shared" si="42"/>
        <v>2649.7367999999997</v>
      </c>
      <c r="AI35" s="6">
        <f t="shared" si="42"/>
        <v>2649.7367999999997</v>
      </c>
      <c r="AJ35" s="6">
        <f t="shared" si="42"/>
        <v>2649.7367999999997</v>
      </c>
      <c r="AK35" s="6">
        <f t="shared" si="42"/>
        <v>2649.7367999999997</v>
      </c>
      <c r="AL35" s="6">
        <f t="shared" si="42"/>
        <v>2649.7367999999997</v>
      </c>
      <c r="AM35" s="6">
        <f t="shared" si="42"/>
        <v>2906.7011999999995</v>
      </c>
      <c r="AN35" s="6">
        <f t="shared" si="42"/>
        <v>2906.7011999999995</v>
      </c>
      <c r="AO35" s="6">
        <f t="shared" si="42"/>
        <v>2906.7011999999995</v>
      </c>
    </row>
    <row r="36" spans="2:41" x14ac:dyDescent="0.3">
      <c r="B36" s="2" t="s">
        <v>163</v>
      </c>
      <c r="D36" s="6">
        <f t="shared" ref="D36:O36" si="43">SUMPRODUCT(D$17:D$25,$J4:$J12)</f>
        <v>1080</v>
      </c>
      <c r="E36" s="6">
        <f t="shared" si="43"/>
        <v>1080</v>
      </c>
      <c r="F36" s="6">
        <f t="shared" si="43"/>
        <v>1080</v>
      </c>
      <c r="G36" s="6">
        <f t="shared" si="43"/>
        <v>1080</v>
      </c>
      <c r="H36" s="6">
        <f t="shared" si="43"/>
        <v>1080</v>
      </c>
      <c r="I36" s="6">
        <f t="shared" si="43"/>
        <v>1080</v>
      </c>
      <c r="J36" s="6">
        <f>SUMPRODUCT(J$17:J$25,$J4:$J12)</f>
        <v>2960</v>
      </c>
      <c r="K36" s="6">
        <f t="shared" si="43"/>
        <v>2960</v>
      </c>
      <c r="L36" s="6">
        <f t="shared" si="43"/>
        <v>3080</v>
      </c>
      <c r="M36" s="6">
        <f t="shared" si="43"/>
        <v>3080</v>
      </c>
      <c r="N36" s="6">
        <f t="shared" si="43"/>
        <v>3080</v>
      </c>
      <c r="O36" s="6">
        <f t="shared" si="43"/>
        <v>3080</v>
      </c>
      <c r="Q36" s="6">
        <f>SUMPRODUCT(Q$17:Q$25,$J4:$J12)</f>
        <v>4440</v>
      </c>
      <c r="R36" s="6">
        <f t="shared" ref="R36:AB36" si="44">SUMPRODUCT(R$17:R$25,$J4:$J12)</f>
        <v>4440</v>
      </c>
      <c r="S36" s="6">
        <f t="shared" si="44"/>
        <v>4440</v>
      </c>
      <c r="T36" s="6">
        <f t="shared" si="44"/>
        <v>5950</v>
      </c>
      <c r="U36" s="6">
        <f t="shared" si="44"/>
        <v>6770</v>
      </c>
      <c r="V36" s="6">
        <f t="shared" si="44"/>
        <v>6770</v>
      </c>
      <c r="W36" s="6">
        <f t="shared" si="44"/>
        <v>6770</v>
      </c>
      <c r="X36" s="6">
        <f t="shared" si="44"/>
        <v>6770</v>
      </c>
      <c r="Y36" s="6">
        <f t="shared" si="44"/>
        <v>6970</v>
      </c>
      <c r="Z36" s="6">
        <f t="shared" si="44"/>
        <v>7430</v>
      </c>
      <c r="AA36" s="6">
        <f t="shared" si="44"/>
        <v>7430</v>
      </c>
      <c r="AB36" s="6">
        <f t="shared" si="44"/>
        <v>7430</v>
      </c>
      <c r="AD36" s="6">
        <f>SUMPRODUCT(AD$17:AD$25,$J4:$J12)</f>
        <v>10780</v>
      </c>
      <c r="AE36" s="6">
        <f t="shared" ref="AE36:AO36" si="45">SUMPRODUCT(AE$17:AE$25,$J4:$J12)</f>
        <v>10780</v>
      </c>
      <c r="AF36" s="6">
        <f t="shared" si="45"/>
        <v>10780</v>
      </c>
      <c r="AG36" s="6">
        <f t="shared" si="45"/>
        <v>12190</v>
      </c>
      <c r="AH36" s="6">
        <f t="shared" si="45"/>
        <v>12190</v>
      </c>
      <c r="AI36" s="6">
        <f t="shared" si="45"/>
        <v>12190</v>
      </c>
      <c r="AJ36" s="6">
        <f t="shared" si="45"/>
        <v>12190</v>
      </c>
      <c r="AK36" s="6">
        <f t="shared" si="45"/>
        <v>12190</v>
      </c>
      <c r="AL36" s="6">
        <f t="shared" si="45"/>
        <v>12190</v>
      </c>
      <c r="AM36" s="6">
        <f t="shared" si="45"/>
        <v>13650</v>
      </c>
      <c r="AN36" s="6">
        <f t="shared" si="45"/>
        <v>13650</v>
      </c>
      <c r="AO36" s="6">
        <f t="shared" si="45"/>
        <v>13650</v>
      </c>
    </row>
    <row r="37" spans="2:41" x14ac:dyDescent="0.3">
      <c r="B37" s="2" t="s">
        <v>164</v>
      </c>
      <c r="D37" s="6">
        <f t="shared" ref="D37:O37" si="46">SUMPRODUCT(D$17:D$25,$K4:$K12)</f>
        <v>220</v>
      </c>
      <c r="E37" s="6">
        <f t="shared" si="46"/>
        <v>220</v>
      </c>
      <c r="F37" s="6">
        <f t="shared" si="46"/>
        <v>220</v>
      </c>
      <c r="G37" s="6">
        <f t="shared" si="46"/>
        <v>220</v>
      </c>
      <c r="H37" s="6">
        <f t="shared" si="46"/>
        <v>220</v>
      </c>
      <c r="I37" s="6">
        <f t="shared" si="46"/>
        <v>220</v>
      </c>
      <c r="J37" s="6">
        <f t="shared" si="46"/>
        <v>550</v>
      </c>
      <c r="K37" s="6">
        <f t="shared" si="46"/>
        <v>550</v>
      </c>
      <c r="L37" s="6">
        <f t="shared" si="46"/>
        <v>550</v>
      </c>
      <c r="M37" s="6">
        <f t="shared" si="46"/>
        <v>550</v>
      </c>
      <c r="N37" s="6">
        <f t="shared" si="46"/>
        <v>550</v>
      </c>
      <c r="O37" s="6">
        <f t="shared" si="46"/>
        <v>550</v>
      </c>
      <c r="Q37" s="6">
        <f>SUMPRODUCT(Q$17:Q$25,$K4:$K12)</f>
        <v>770</v>
      </c>
      <c r="R37" s="6">
        <f t="shared" ref="R37:AB37" si="47">SUMPRODUCT(R$17:R$25,$K4:$K12)</f>
        <v>770</v>
      </c>
      <c r="S37" s="6">
        <f t="shared" si="47"/>
        <v>770</v>
      </c>
      <c r="T37" s="6">
        <f t="shared" si="47"/>
        <v>1040</v>
      </c>
      <c r="U37" s="6">
        <f t="shared" si="47"/>
        <v>1180</v>
      </c>
      <c r="V37" s="6">
        <f t="shared" si="47"/>
        <v>1180</v>
      </c>
      <c r="W37" s="6">
        <f t="shared" si="47"/>
        <v>1180</v>
      </c>
      <c r="X37" s="6">
        <f t="shared" si="47"/>
        <v>1180</v>
      </c>
      <c r="Y37" s="6">
        <f t="shared" si="47"/>
        <v>1220</v>
      </c>
      <c r="Z37" s="6">
        <f t="shared" si="47"/>
        <v>1280</v>
      </c>
      <c r="AA37" s="6">
        <f t="shared" si="47"/>
        <v>1280</v>
      </c>
      <c r="AB37" s="6">
        <f t="shared" si="47"/>
        <v>1280</v>
      </c>
      <c r="AD37" s="6">
        <f>SUMPRODUCT(AD$17:AD$25,$K4:$K12)</f>
        <v>1880</v>
      </c>
      <c r="AE37" s="6">
        <f t="shared" ref="AE37:AO37" si="48">SUMPRODUCT(AE$17:AE$25,$K4:$K12)</f>
        <v>1880</v>
      </c>
      <c r="AF37" s="6">
        <f t="shared" si="48"/>
        <v>1880</v>
      </c>
      <c r="AG37" s="6">
        <f t="shared" si="48"/>
        <v>2130</v>
      </c>
      <c r="AH37" s="6">
        <f t="shared" si="48"/>
        <v>2130</v>
      </c>
      <c r="AI37" s="6">
        <f t="shared" si="48"/>
        <v>2130</v>
      </c>
      <c r="AJ37" s="6">
        <f t="shared" si="48"/>
        <v>2130</v>
      </c>
      <c r="AK37" s="6">
        <f t="shared" si="48"/>
        <v>2130</v>
      </c>
      <c r="AL37" s="6">
        <f t="shared" si="48"/>
        <v>2130</v>
      </c>
      <c r="AM37" s="6">
        <f t="shared" si="48"/>
        <v>2400</v>
      </c>
      <c r="AN37" s="6">
        <f t="shared" si="48"/>
        <v>2400</v>
      </c>
      <c r="AO37" s="6">
        <f t="shared" si="48"/>
        <v>2400</v>
      </c>
    </row>
    <row r="38" spans="2:41" x14ac:dyDescent="0.3">
      <c r="B38" s="2" t="s">
        <v>165</v>
      </c>
      <c r="D38" s="6">
        <f t="shared" ref="D38:O38" si="49">SUMPRODUCT(D$17:D$25,$D4:$D12)</f>
        <v>8000</v>
      </c>
      <c r="E38" s="6">
        <f t="shared" si="49"/>
        <v>8000</v>
      </c>
      <c r="F38" s="6">
        <f t="shared" si="49"/>
        <v>8000</v>
      </c>
      <c r="G38" s="6">
        <f t="shared" si="49"/>
        <v>8000</v>
      </c>
      <c r="H38" s="6">
        <f t="shared" si="49"/>
        <v>8000</v>
      </c>
      <c r="I38" s="6">
        <f t="shared" si="49"/>
        <v>8000</v>
      </c>
      <c r="J38" s="6">
        <f t="shared" si="49"/>
        <v>8000</v>
      </c>
      <c r="K38" s="6">
        <f t="shared" si="49"/>
        <v>8000</v>
      </c>
      <c r="L38" s="6">
        <f t="shared" si="49"/>
        <v>8000</v>
      </c>
      <c r="M38" s="6">
        <f t="shared" si="49"/>
        <v>8000</v>
      </c>
      <c r="N38" s="6">
        <f t="shared" si="49"/>
        <v>8000</v>
      </c>
      <c r="O38" s="6">
        <f t="shared" si="49"/>
        <v>8000</v>
      </c>
      <c r="Q38" s="6">
        <f>SUMPRODUCT(Q$17:Q$25,$D4:$D12)</f>
        <v>13000</v>
      </c>
      <c r="R38" s="6">
        <f t="shared" ref="R38:AB38" si="50">SUMPRODUCT(R$17:R$25,$D4:$D12)</f>
        <v>13000</v>
      </c>
      <c r="S38" s="6">
        <f t="shared" si="50"/>
        <v>13000</v>
      </c>
      <c r="T38" s="6">
        <f t="shared" si="50"/>
        <v>16000</v>
      </c>
      <c r="U38" s="6">
        <f t="shared" si="50"/>
        <v>20000</v>
      </c>
      <c r="V38" s="6">
        <f t="shared" si="50"/>
        <v>20000</v>
      </c>
      <c r="W38" s="6">
        <f t="shared" si="50"/>
        <v>20000</v>
      </c>
      <c r="X38" s="6">
        <f t="shared" si="50"/>
        <v>20000</v>
      </c>
      <c r="Y38" s="6">
        <f t="shared" si="50"/>
        <v>22000</v>
      </c>
      <c r="Z38" s="6">
        <f t="shared" si="50"/>
        <v>22000</v>
      </c>
      <c r="AA38" s="6">
        <f t="shared" si="50"/>
        <v>22000</v>
      </c>
      <c r="AB38" s="6">
        <f t="shared" si="50"/>
        <v>22000</v>
      </c>
      <c r="AD38" s="6">
        <f>SUMPRODUCT(AD$17:AD$25,$D4:$D12)</f>
        <v>34000</v>
      </c>
      <c r="AE38" s="6">
        <f t="shared" ref="AE38:AO38" si="51">SUMPRODUCT(AE$17:AE$25,$D4:$D12)</f>
        <v>34000</v>
      </c>
      <c r="AF38" s="6">
        <f t="shared" si="51"/>
        <v>34000</v>
      </c>
      <c r="AG38" s="6">
        <f t="shared" si="51"/>
        <v>36000</v>
      </c>
      <c r="AH38" s="6">
        <f t="shared" si="51"/>
        <v>36000</v>
      </c>
      <c r="AI38" s="6">
        <f t="shared" si="51"/>
        <v>36000</v>
      </c>
      <c r="AJ38" s="6">
        <f t="shared" si="51"/>
        <v>36000</v>
      </c>
      <c r="AK38" s="6">
        <f t="shared" si="51"/>
        <v>36000</v>
      </c>
      <c r="AL38" s="6">
        <f t="shared" si="51"/>
        <v>36000</v>
      </c>
      <c r="AM38" s="6">
        <f t="shared" si="51"/>
        <v>42000</v>
      </c>
      <c r="AN38" s="6">
        <f t="shared" si="51"/>
        <v>42000</v>
      </c>
      <c r="AO38" s="6">
        <f t="shared" si="51"/>
        <v>42000</v>
      </c>
    </row>
    <row r="39" spans="2:41" x14ac:dyDescent="0.3">
      <c r="D39" s="6"/>
      <c r="E39" s="6"/>
      <c r="F39" s="6"/>
      <c r="G39" s="6"/>
      <c r="H39" s="6"/>
      <c r="I39" s="6"/>
      <c r="J39" s="6"/>
      <c r="K39" s="6"/>
      <c r="L39" s="6"/>
      <c r="M39" s="6"/>
      <c r="N39" s="6"/>
      <c r="O39" s="6"/>
    </row>
    <row r="41" spans="2:41" x14ac:dyDescent="0.3">
      <c r="B41" s="2" t="s">
        <v>149</v>
      </c>
      <c r="D41" s="2">
        <f>SUM(D42:D43)</f>
        <v>2200</v>
      </c>
      <c r="E41" s="2">
        <f t="shared" ref="E41:R41" si="52">SUM(E42:E43)</f>
        <v>2200</v>
      </c>
      <c r="F41" s="2">
        <f t="shared" si="52"/>
        <v>2200</v>
      </c>
      <c r="G41" s="2">
        <f t="shared" si="52"/>
        <v>2200</v>
      </c>
      <c r="H41" s="2">
        <f t="shared" si="52"/>
        <v>2200</v>
      </c>
      <c r="I41" s="2">
        <f t="shared" si="52"/>
        <v>2200</v>
      </c>
      <c r="J41" s="2">
        <f t="shared" si="52"/>
        <v>3850</v>
      </c>
      <c r="K41" s="2">
        <f t="shared" si="52"/>
        <v>3850</v>
      </c>
      <c r="L41" s="2">
        <f t="shared" si="52"/>
        <v>3850</v>
      </c>
      <c r="M41" s="2">
        <f t="shared" si="52"/>
        <v>3850</v>
      </c>
      <c r="N41" s="2">
        <f t="shared" si="52"/>
        <v>3850</v>
      </c>
      <c r="O41" s="2">
        <f t="shared" si="52"/>
        <v>3850</v>
      </c>
      <c r="Q41" s="2">
        <f t="shared" si="52"/>
        <v>3965.5</v>
      </c>
      <c r="R41" s="2">
        <f t="shared" si="52"/>
        <v>3965.5</v>
      </c>
      <c r="S41" s="2">
        <f t="shared" ref="S41" si="53">SUM(S42:S43)</f>
        <v>3965.5</v>
      </c>
      <c r="T41" s="2">
        <f t="shared" ref="T41" si="54">SUM(T42:T43)</f>
        <v>3965.5</v>
      </c>
      <c r="U41" s="2">
        <f t="shared" ref="U41" si="55">SUM(U42:U43)</f>
        <v>3965.5</v>
      </c>
      <c r="V41" s="2">
        <f t="shared" ref="V41" si="56">SUM(V42:V43)</f>
        <v>7700</v>
      </c>
      <c r="W41" s="2">
        <f t="shared" ref="W41" si="57">SUM(W42:W43)</f>
        <v>7700</v>
      </c>
      <c r="X41" s="2">
        <f t="shared" ref="X41" si="58">SUM(X42:X43)</f>
        <v>7700</v>
      </c>
      <c r="Y41" s="2">
        <f t="shared" ref="Y41" si="59">SUM(Y42:Y43)</f>
        <v>7700</v>
      </c>
      <c r="Z41" s="2">
        <f t="shared" ref="Z41" si="60">SUM(Z42:Z43)</f>
        <v>7700</v>
      </c>
      <c r="AA41" s="2">
        <f t="shared" ref="AA41" si="61">SUM(AA42:AA43)</f>
        <v>7700</v>
      </c>
      <c r="AB41" s="2">
        <f t="shared" ref="AB41" si="62">SUM(AB42:AB43)</f>
        <v>7700</v>
      </c>
      <c r="AD41" s="2">
        <f t="shared" ref="AD41:AO41" si="63">SUM(AD42:AD43)</f>
        <v>11231</v>
      </c>
      <c r="AE41" s="2">
        <f t="shared" si="63"/>
        <v>11231</v>
      </c>
      <c r="AF41" s="2">
        <f t="shared" si="63"/>
        <v>11231</v>
      </c>
      <c r="AG41" s="2">
        <f t="shared" si="63"/>
        <v>11231</v>
      </c>
      <c r="AH41" s="2">
        <f t="shared" si="63"/>
        <v>11231</v>
      </c>
      <c r="AI41" s="2">
        <f t="shared" si="63"/>
        <v>11231</v>
      </c>
      <c r="AJ41" s="2">
        <f t="shared" si="63"/>
        <v>11231</v>
      </c>
      <c r="AK41" s="2">
        <f t="shared" si="63"/>
        <v>11231</v>
      </c>
      <c r="AL41" s="2">
        <f t="shared" si="63"/>
        <v>11231</v>
      </c>
      <c r="AM41" s="2">
        <f t="shared" si="63"/>
        <v>11231</v>
      </c>
      <c r="AN41" s="2">
        <f t="shared" si="63"/>
        <v>11231</v>
      </c>
      <c r="AO41" s="2">
        <f t="shared" si="63"/>
        <v>11231</v>
      </c>
    </row>
    <row r="42" spans="2:41" x14ac:dyDescent="0.3">
      <c r="B42" s="4" t="s">
        <v>150</v>
      </c>
      <c r="D42">
        <v>2000</v>
      </c>
      <c r="E42">
        <v>2000</v>
      </c>
      <c r="F42">
        <v>2000</v>
      </c>
      <c r="G42">
        <v>2000</v>
      </c>
      <c r="H42">
        <v>2000</v>
      </c>
      <c r="I42">
        <v>2000</v>
      </c>
      <c r="J42">
        <f>I42+1500</f>
        <v>3500</v>
      </c>
      <c r="K42">
        <f>J42</f>
        <v>3500</v>
      </c>
      <c r="L42">
        <f t="shared" ref="L42:O42" si="64">K42</f>
        <v>3500</v>
      </c>
      <c r="M42">
        <f t="shared" si="64"/>
        <v>3500</v>
      </c>
      <c r="N42">
        <f t="shared" si="64"/>
        <v>3500</v>
      </c>
      <c r="O42">
        <f t="shared" si="64"/>
        <v>3500</v>
      </c>
      <c r="Q42">
        <f>O42*1.03</f>
        <v>3605</v>
      </c>
      <c r="R42">
        <f>Q42</f>
        <v>3605</v>
      </c>
      <c r="S42">
        <f t="shared" ref="S42:AB42" si="65">R42</f>
        <v>3605</v>
      </c>
      <c r="T42">
        <f t="shared" si="65"/>
        <v>3605</v>
      </c>
      <c r="U42">
        <f t="shared" si="65"/>
        <v>3605</v>
      </c>
      <c r="V42">
        <f>7000</f>
        <v>7000</v>
      </c>
      <c r="W42">
        <f t="shared" si="65"/>
        <v>7000</v>
      </c>
      <c r="X42">
        <f t="shared" si="65"/>
        <v>7000</v>
      </c>
      <c r="Y42">
        <f t="shared" si="65"/>
        <v>7000</v>
      </c>
      <c r="Z42">
        <f t="shared" si="65"/>
        <v>7000</v>
      </c>
      <c r="AA42">
        <f t="shared" si="65"/>
        <v>7000</v>
      </c>
      <c r="AB42">
        <f t="shared" si="65"/>
        <v>7000</v>
      </c>
      <c r="AD42">
        <f>AB42*1.03+3000</f>
        <v>10210</v>
      </c>
      <c r="AE42">
        <f>AD42</f>
        <v>10210</v>
      </c>
      <c r="AF42">
        <f t="shared" ref="AF42" si="66">AE42</f>
        <v>10210</v>
      </c>
      <c r="AG42">
        <f t="shared" ref="AG42" si="67">AF42</f>
        <v>10210</v>
      </c>
      <c r="AH42">
        <f t="shared" ref="AH42" si="68">AG42</f>
        <v>10210</v>
      </c>
      <c r="AI42">
        <f>AH42</f>
        <v>10210</v>
      </c>
      <c r="AJ42">
        <f t="shared" ref="AJ42" si="69">AI42</f>
        <v>10210</v>
      </c>
      <c r="AK42">
        <f t="shared" ref="AK42" si="70">AJ42</f>
        <v>10210</v>
      </c>
      <c r="AL42">
        <f t="shared" ref="AL42" si="71">AK42</f>
        <v>10210</v>
      </c>
      <c r="AM42">
        <f t="shared" ref="AM42" si="72">AL42</f>
        <v>10210</v>
      </c>
      <c r="AN42">
        <f t="shared" ref="AN42" si="73">AM42</f>
        <v>10210</v>
      </c>
      <c r="AO42">
        <f t="shared" ref="AO42" si="74">AN42</f>
        <v>10210</v>
      </c>
    </row>
    <row r="43" spans="2:41" x14ac:dyDescent="0.3">
      <c r="B43" s="4" t="s">
        <v>151</v>
      </c>
      <c r="D43">
        <f>D42*0.1</f>
        <v>200</v>
      </c>
      <c r="E43">
        <f t="shared" ref="E43:J43" si="75">E42*0.1</f>
        <v>200</v>
      </c>
      <c r="F43">
        <f t="shared" si="75"/>
        <v>200</v>
      </c>
      <c r="G43">
        <f t="shared" si="75"/>
        <v>200</v>
      </c>
      <c r="H43">
        <f t="shared" si="75"/>
        <v>200</v>
      </c>
      <c r="I43">
        <f t="shared" si="75"/>
        <v>200</v>
      </c>
      <c r="J43">
        <f t="shared" si="75"/>
        <v>350</v>
      </c>
      <c r="K43">
        <f t="shared" ref="K43" si="76">K42*0.1</f>
        <v>350</v>
      </c>
      <c r="L43">
        <f t="shared" ref="L43" si="77">L42*0.1</f>
        <v>350</v>
      </c>
      <c r="M43">
        <f t="shared" ref="M43" si="78">M42*0.1</f>
        <v>350</v>
      </c>
      <c r="N43">
        <f t="shared" ref="N43" si="79">N42*0.1</f>
        <v>350</v>
      </c>
      <c r="O43">
        <f t="shared" ref="O43" si="80">O42*0.1</f>
        <v>350</v>
      </c>
      <c r="Q43">
        <f t="shared" ref="Q43" si="81">Q42*0.1</f>
        <v>360.5</v>
      </c>
      <c r="R43">
        <f t="shared" ref="R43" si="82">R42*0.1</f>
        <v>360.5</v>
      </c>
      <c r="S43">
        <f t="shared" ref="S43" si="83">S42*0.1</f>
        <v>360.5</v>
      </c>
      <c r="T43">
        <f t="shared" ref="T43" si="84">T42*0.1</f>
        <v>360.5</v>
      </c>
      <c r="U43">
        <f t="shared" ref="U43" si="85">U42*0.1</f>
        <v>360.5</v>
      </c>
      <c r="V43">
        <f t="shared" ref="V43" si="86">V42*0.1</f>
        <v>700</v>
      </c>
      <c r="W43">
        <f t="shared" ref="W43" si="87">W42*0.1</f>
        <v>700</v>
      </c>
      <c r="X43">
        <f t="shared" ref="X43" si="88">X42*0.1</f>
        <v>700</v>
      </c>
      <c r="Y43">
        <f t="shared" ref="Y43" si="89">Y42*0.1</f>
        <v>700</v>
      </c>
      <c r="Z43">
        <f t="shared" ref="Z43" si="90">Z42*0.1</f>
        <v>700</v>
      </c>
      <c r="AA43">
        <f t="shared" ref="AA43" si="91">AA42*0.1</f>
        <v>700</v>
      </c>
      <c r="AB43">
        <f t="shared" ref="AB43" si="92">AB42*0.1</f>
        <v>700</v>
      </c>
      <c r="AD43">
        <f t="shared" ref="AD43:AO43" si="93">AD42*0.1</f>
        <v>1021</v>
      </c>
      <c r="AE43">
        <f t="shared" si="93"/>
        <v>1021</v>
      </c>
      <c r="AF43">
        <f t="shared" si="93"/>
        <v>1021</v>
      </c>
      <c r="AG43">
        <f t="shared" si="93"/>
        <v>1021</v>
      </c>
      <c r="AH43">
        <f t="shared" si="93"/>
        <v>1021</v>
      </c>
      <c r="AI43">
        <f t="shared" si="93"/>
        <v>1021</v>
      </c>
      <c r="AJ43">
        <f t="shared" si="93"/>
        <v>1021</v>
      </c>
      <c r="AK43">
        <f t="shared" si="93"/>
        <v>1021</v>
      </c>
      <c r="AL43">
        <f t="shared" si="93"/>
        <v>1021</v>
      </c>
      <c r="AM43">
        <f t="shared" si="93"/>
        <v>1021</v>
      </c>
      <c r="AN43">
        <f t="shared" si="93"/>
        <v>1021</v>
      </c>
      <c r="AO43">
        <f t="shared" si="93"/>
        <v>1021</v>
      </c>
    </row>
    <row r="45" spans="2:41" x14ac:dyDescent="0.3">
      <c r="B45" s="2" t="s">
        <v>152</v>
      </c>
      <c r="D45" s="2">
        <f>SUM(D46:D50)</f>
        <v>1475</v>
      </c>
      <c r="E45" s="2">
        <f t="shared" ref="E45:Q45" si="94">SUM(E46:E50)</f>
        <v>1475</v>
      </c>
      <c r="F45" s="2">
        <f t="shared" si="94"/>
        <v>1475</v>
      </c>
      <c r="G45" s="2">
        <f t="shared" si="94"/>
        <v>1475</v>
      </c>
      <c r="H45" s="2">
        <f t="shared" si="94"/>
        <v>1475</v>
      </c>
      <c r="I45" s="2">
        <f t="shared" si="94"/>
        <v>1475</v>
      </c>
      <c r="J45" s="2">
        <f t="shared" si="94"/>
        <v>1475</v>
      </c>
      <c r="K45" s="2">
        <f t="shared" si="94"/>
        <v>1475</v>
      </c>
      <c r="L45" s="2">
        <f t="shared" si="94"/>
        <v>1475</v>
      </c>
      <c r="M45" s="2">
        <f t="shared" si="94"/>
        <v>1475</v>
      </c>
      <c r="N45" s="2">
        <f t="shared" si="94"/>
        <v>1475</v>
      </c>
      <c r="O45" s="2">
        <f t="shared" si="94"/>
        <v>1475</v>
      </c>
      <c r="Q45" s="2">
        <f t="shared" si="94"/>
        <v>3038.5</v>
      </c>
      <c r="R45" s="2">
        <f t="shared" ref="R45" si="95">SUM(R46:R50)</f>
        <v>3038.5</v>
      </c>
      <c r="S45" s="2">
        <f t="shared" ref="S45" si="96">SUM(S46:S50)</f>
        <v>3038.5</v>
      </c>
      <c r="T45" s="2">
        <f t="shared" ref="T45" si="97">SUM(T46:T50)</f>
        <v>3038.5</v>
      </c>
      <c r="U45" s="2">
        <f t="shared" ref="U45" si="98">SUM(U46:U50)</f>
        <v>3038.5</v>
      </c>
      <c r="V45" s="2">
        <f t="shared" ref="V45" si="99">SUM(V46:V50)</f>
        <v>3038.5</v>
      </c>
      <c r="W45" s="2">
        <f t="shared" ref="W45" si="100">SUM(W46:W50)</f>
        <v>3038.5</v>
      </c>
      <c r="X45" s="2">
        <f t="shared" ref="X45" si="101">SUM(X46:X50)</f>
        <v>3038.5</v>
      </c>
      <c r="Y45" s="2">
        <f t="shared" ref="Y45" si="102">SUM(Y46:Y50)</f>
        <v>3038.5</v>
      </c>
      <c r="Z45" s="2">
        <f t="shared" ref="Z45" si="103">SUM(Z46:Z50)</f>
        <v>3038.5</v>
      </c>
      <c r="AA45" s="2">
        <f t="shared" ref="AA45" si="104">SUM(AA46:AA50)</f>
        <v>3038.5</v>
      </c>
      <c r="AB45" s="2">
        <f t="shared" ref="AB45" si="105">SUM(AB46:AB50)</f>
        <v>3038.5</v>
      </c>
      <c r="AD45" s="2">
        <f t="shared" ref="AD45:AO45" si="106">SUM(AD46:AD50)</f>
        <v>6259.3099999999995</v>
      </c>
      <c r="AE45" s="2">
        <f t="shared" si="106"/>
        <v>6259.3099999999995</v>
      </c>
      <c r="AF45" s="2">
        <f t="shared" si="106"/>
        <v>6259.3099999999995</v>
      </c>
      <c r="AG45" s="2">
        <f t="shared" si="106"/>
        <v>6259.3099999999995</v>
      </c>
      <c r="AH45" s="2">
        <f t="shared" si="106"/>
        <v>6259.3099999999995</v>
      </c>
      <c r="AI45" s="2">
        <f t="shared" si="106"/>
        <v>6259.3099999999995</v>
      </c>
      <c r="AJ45" s="2">
        <f t="shared" si="106"/>
        <v>6259.3099999999995</v>
      </c>
      <c r="AK45" s="2">
        <f t="shared" si="106"/>
        <v>6259.3099999999995</v>
      </c>
      <c r="AL45" s="2">
        <f t="shared" si="106"/>
        <v>6259.3099999999995</v>
      </c>
      <c r="AM45" s="2">
        <f t="shared" si="106"/>
        <v>6259.3099999999995</v>
      </c>
      <c r="AN45" s="2">
        <f t="shared" si="106"/>
        <v>6259.3099999999995</v>
      </c>
      <c r="AO45" s="2">
        <f t="shared" si="106"/>
        <v>6259.3099999999995</v>
      </c>
    </row>
    <row r="46" spans="2:41" x14ac:dyDescent="0.3">
      <c r="B46" s="4" t="s">
        <v>153</v>
      </c>
      <c r="D46">
        <f>6000/12</f>
        <v>500</v>
      </c>
      <c r="E46">
        <f t="shared" ref="E46:O46" si="107">6000/12</f>
        <v>500</v>
      </c>
      <c r="F46">
        <f t="shared" si="107"/>
        <v>500</v>
      </c>
      <c r="G46">
        <f t="shared" si="107"/>
        <v>500</v>
      </c>
      <c r="H46">
        <f t="shared" si="107"/>
        <v>500</v>
      </c>
      <c r="I46">
        <f t="shared" si="107"/>
        <v>500</v>
      </c>
      <c r="J46">
        <f t="shared" si="107"/>
        <v>500</v>
      </c>
      <c r="K46">
        <f t="shared" si="107"/>
        <v>500</v>
      </c>
      <c r="L46">
        <f t="shared" si="107"/>
        <v>500</v>
      </c>
      <c r="M46">
        <f t="shared" si="107"/>
        <v>500</v>
      </c>
      <c r="N46">
        <f t="shared" si="107"/>
        <v>500</v>
      </c>
      <c r="O46">
        <f t="shared" si="107"/>
        <v>500</v>
      </c>
      <c r="Q46">
        <f>O46*1.03*2</f>
        <v>1030</v>
      </c>
      <c r="R46">
        <f>Q46</f>
        <v>1030</v>
      </c>
      <c r="S46">
        <f t="shared" ref="S46:AB46" si="108">R46</f>
        <v>1030</v>
      </c>
      <c r="T46">
        <f t="shared" si="108"/>
        <v>1030</v>
      </c>
      <c r="U46">
        <f t="shared" si="108"/>
        <v>1030</v>
      </c>
      <c r="V46">
        <f t="shared" si="108"/>
        <v>1030</v>
      </c>
      <c r="W46">
        <f t="shared" si="108"/>
        <v>1030</v>
      </c>
      <c r="X46">
        <f t="shared" si="108"/>
        <v>1030</v>
      </c>
      <c r="Y46">
        <f t="shared" si="108"/>
        <v>1030</v>
      </c>
      <c r="Z46">
        <f t="shared" si="108"/>
        <v>1030</v>
      </c>
      <c r="AA46">
        <f t="shared" si="108"/>
        <v>1030</v>
      </c>
      <c r="AB46">
        <f t="shared" si="108"/>
        <v>1030</v>
      </c>
      <c r="AD46">
        <f>AB46*1.03*2</f>
        <v>2121.8000000000002</v>
      </c>
      <c r="AE46">
        <f>AD46</f>
        <v>2121.8000000000002</v>
      </c>
      <c r="AF46">
        <f t="shared" ref="AF46:AF50" si="109">AE46</f>
        <v>2121.8000000000002</v>
      </c>
      <c r="AG46">
        <f t="shared" ref="AG46:AG50" si="110">AF46</f>
        <v>2121.8000000000002</v>
      </c>
      <c r="AH46">
        <f t="shared" ref="AH46:AH50" si="111">AG46</f>
        <v>2121.8000000000002</v>
      </c>
      <c r="AI46">
        <f t="shared" ref="AI46:AI50" si="112">AH46</f>
        <v>2121.8000000000002</v>
      </c>
      <c r="AJ46">
        <f t="shared" ref="AJ46:AJ50" si="113">AI46</f>
        <v>2121.8000000000002</v>
      </c>
      <c r="AK46">
        <f t="shared" ref="AK46:AK50" si="114">AJ46</f>
        <v>2121.8000000000002</v>
      </c>
      <c r="AL46">
        <f t="shared" ref="AL46:AL50" si="115">AK46</f>
        <v>2121.8000000000002</v>
      </c>
      <c r="AM46">
        <f t="shared" ref="AM46:AM50" si="116">AL46</f>
        <v>2121.8000000000002</v>
      </c>
      <c r="AN46">
        <f t="shared" ref="AN46:AN50" si="117">AM46</f>
        <v>2121.8000000000002</v>
      </c>
      <c r="AO46">
        <f t="shared" ref="AO46:AO50" si="118">AN46</f>
        <v>2121.8000000000002</v>
      </c>
    </row>
    <row r="47" spans="2:41" x14ac:dyDescent="0.3">
      <c r="B47" s="4" t="s">
        <v>154</v>
      </c>
      <c r="D47">
        <f>3600/12</f>
        <v>300</v>
      </c>
      <c r="E47">
        <f t="shared" ref="E47:O48" si="119">3600/12</f>
        <v>300</v>
      </c>
      <c r="F47">
        <f t="shared" si="119"/>
        <v>300</v>
      </c>
      <c r="G47">
        <f t="shared" si="119"/>
        <v>300</v>
      </c>
      <c r="H47">
        <f t="shared" si="119"/>
        <v>300</v>
      </c>
      <c r="I47">
        <f t="shared" si="119"/>
        <v>300</v>
      </c>
      <c r="J47">
        <f t="shared" si="119"/>
        <v>300</v>
      </c>
      <c r="K47">
        <f t="shared" si="119"/>
        <v>300</v>
      </c>
      <c r="L47">
        <f t="shared" si="119"/>
        <v>300</v>
      </c>
      <c r="M47">
        <f t="shared" si="119"/>
        <v>300</v>
      </c>
      <c r="N47">
        <f t="shared" si="119"/>
        <v>300</v>
      </c>
      <c r="O47">
        <f t="shared" si="119"/>
        <v>300</v>
      </c>
      <c r="Q47">
        <f>O47*1.03*2</f>
        <v>618</v>
      </c>
      <c r="R47">
        <f t="shared" ref="R47:AB50" si="120">Q47</f>
        <v>618</v>
      </c>
      <c r="S47">
        <f t="shared" si="120"/>
        <v>618</v>
      </c>
      <c r="T47">
        <f t="shared" si="120"/>
        <v>618</v>
      </c>
      <c r="U47">
        <f t="shared" si="120"/>
        <v>618</v>
      </c>
      <c r="V47">
        <f t="shared" si="120"/>
        <v>618</v>
      </c>
      <c r="W47">
        <f t="shared" si="120"/>
        <v>618</v>
      </c>
      <c r="X47">
        <f t="shared" si="120"/>
        <v>618</v>
      </c>
      <c r="Y47">
        <f t="shared" si="120"/>
        <v>618</v>
      </c>
      <c r="Z47">
        <f t="shared" si="120"/>
        <v>618</v>
      </c>
      <c r="AA47">
        <f t="shared" si="120"/>
        <v>618</v>
      </c>
      <c r="AB47">
        <f t="shared" si="120"/>
        <v>618</v>
      </c>
      <c r="AD47">
        <f>AB47*1.03*2</f>
        <v>1273.08</v>
      </c>
      <c r="AE47">
        <f t="shared" ref="AE47:AE50" si="121">AD47</f>
        <v>1273.08</v>
      </c>
      <c r="AF47">
        <f t="shared" si="109"/>
        <v>1273.08</v>
      </c>
      <c r="AG47">
        <f t="shared" si="110"/>
        <v>1273.08</v>
      </c>
      <c r="AH47">
        <f t="shared" si="111"/>
        <v>1273.08</v>
      </c>
      <c r="AI47">
        <f t="shared" si="112"/>
        <v>1273.08</v>
      </c>
      <c r="AJ47">
        <f t="shared" si="113"/>
        <v>1273.08</v>
      </c>
      <c r="AK47">
        <f t="shared" si="114"/>
        <v>1273.08</v>
      </c>
      <c r="AL47">
        <f t="shared" si="115"/>
        <v>1273.08</v>
      </c>
      <c r="AM47">
        <f t="shared" si="116"/>
        <v>1273.08</v>
      </c>
      <c r="AN47">
        <f t="shared" si="117"/>
        <v>1273.08</v>
      </c>
      <c r="AO47">
        <f t="shared" si="118"/>
        <v>1273.08</v>
      </c>
    </row>
    <row r="48" spans="2:41" x14ac:dyDescent="0.3">
      <c r="B48" s="4" t="s">
        <v>155</v>
      </c>
      <c r="D48">
        <f>3600/12</f>
        <v>300</v>
      </c>
      <c r="E48">
        <f t="shared" si="119"/>
        <v>300</v>
      </c>
      <c r="F48">
        <f t="shared" si="119"/>
        <v>300</v>
      </c>
      <c r="G48">
        <f t="shared" si="119"/>
        <v>300</v>
      </c>
      <c r="H48">
        <f t="shared" si="119"/>
        <v>300</v>
      </c>
      <c r="I48">
        <f t="shared" si="119"/>
        <v>300</v>
      </c>
      <c r="J48">
        <f t="shared" si="119"/>
        <v>300</v>
      </c>
      <c r="K48">
        <f t="shared" si="119"/>
        <v>300</v>
      </c>
      <c r="L48">
        <f t="shared" si="119"/>
        <v>300</v>
      </c>
      <c r="M48">
        <f t="shared" si="119"/>
        <v>300</v>
      </c>
      <c r="N48">
        <f t="shared" si="119"/>
        <v>300</v>
      </c>
      <c r="O48">
        <f t="shared" si="119"/>
        <v>300</v>
      </c>
      <c r="Q48">
        <f>O48*1.03*2</f>
        <v>618</v>
      </c>
      <c r="R48">
        <f t="shared" si="120"/>
        <v>618</v>
      </c>
      <c r="S48">
        <f t="shared" si="120"/>
        <v>618</v>
      </c>
      <c r="T48">
        <f t="shared" si="120"/>
        <v>618</v>
      </c>
      <c r="U48">
        <f t="shared" si="120"/>
        <v>618</v>
      </c>
      <c r="V48">
        <f t="shared" si="120"/>
        <v>618</v>
      </c>
      <c r="W48">
        <f t="shared" si="120"/>
        <v>618</v>
      </c>
      <c r="X48">
        <f t="shared" si="120"/>
        <v>618</v>
      </c>
      <c r="Y48">
        <f t="shared" si="120"/>
        <v>618</v>
      </c>
      <c r="Z48">
        <f t="shared" si="120"/>
        <v>618</v>
      </c>
      <c r="AA48">
        <f t="shared" si="120"/>
        <v>618</v>
      </c>
      <c r="AB48">
        <f t="shared" si="120"/>
        <v>618</v>
      </c>
      <c r="AD48">
        <f>AB48*1.03*2</f>
        <v>1273.08</v>
      </c>
      <c r="AE48">
        <f t="shared" si="121"/>
        <v>1273.08</v>
      </c>
      <c r="AF48">
        <f t="shared" si="109"/>
        <v>1273.08</v>
      </c>
      <c r="AG48">
        <f t="shared" si="110"/>
        <v>1273.08</v>
      </c>
      <c r="AH48">
        <f t="shared" si="111"/>
        <v>1273.08</v>
      </c>
      <c r="AI48">
        <f t="shared" si="112"/>
        <v>1273.08</v>
      </c>
      <c r="AJ48">
        <f t="shared" si="113"/>
        <v>1273.08</v>
      </c>
      <c r="AK48">
        <f t="shared" si="114"/>
        <v>1273.08</v>
      </c>
      <c r="AL48">
        <f t="shared" si="115"/>
        <v>1273.08</v>
      </c>
      <c r="AM48">
        <f t="shared" si="116"/>
        <v>1273.08</v>
      </c>
      <c r="AN48">
        <f t="shared" si="117"/>
        <v>1273.08</v>
      </c>
      <c r="AO48">
        <f t="shared" si="118"/>
        <v>1273.08</v>
      </c>
    </row>
    <row r="49" spans="2:41" x14ac:dyDescent="0.3">
      <c r="B49" s="4" t="s">
        <v>190</v>
      </c>
      <c r="D49">
        <v>100</v>
      </c>
      <c r="E49">
        <v>100</v>
      </c>
      <c r="F49">
        <v>100</v>
      </c>
      <c r="G49">
        <v>100</v>
      </c>
      <c r="H49">
        <v>100</v>
      </c>
      <c r="I49">
        <v>100</v>
      </c>
      <c r="J49">
        <v>100</v>
      </c>
      <c r="K49">
        <v>100</v>
      </c>
      <c r="L49">
        <v>100</v>
      </c>
      <c r="M49">
        <v>100</v>
      </c>
      <c r="N49">
        <v>100</v>
      </c>
      <c r="O49">
        <v>100</v>
      </c>
      <c r="Q49">
        <f>O49*1.03*2</f>
        <v>206</v>
      </c>
      <c r="R49">
        <f t="shared" si="120"/>
        <v>206</v>
      </c>
      <c r="S49">
        <f t="shared" si="120"/>
        <v>206</v>
      </c>
      <c r="T49">
        <f t="shared" si="120"/>
        <v>206</v>
      </c>
      <c r="U49">
        <f t="shared" si="120"/>
        <v>206</v>
      </c>
      <c r="V49">
        <f t="shared" si="120"/>
        <v>206</v>
      </c>
      <c r="W49">
        <f t="shared" si="120"/>
        <v>206</v>
      </c>
      <c r="X49">
        <f t="shared" si="120"/>
        <v>206</v>
      </c>
      <c r="Y49">
        <f t="shared" si="120"/>
        <v>206</v>
      </c>
      <c r="Z49">
        <f t="shared" si="120"/>
        <v>206</v>
      </c>
      <c r="AA49">
        <f t="shared" si="120"/>
        <v>206</v>
      </c>
      <c r="AB49">
        <f t="shared" si="120"/>
        <v>206</v>
      </c>
      <c r="AD49">
        <f>AB49*1.03*2</f>
        <v>424.36</v>
      </c>
      <c r="AE49">
        <f t="shared" si="121"/>
        <v>424.36</v>
      </c>
      <c r="AF49">
        <f t="shared" si="109"/>
        <v>424.36</v>
      </c>
      <c r="AG49">
        <f t="shared" si="110"/>
        <v>424.36</v>
      </c>
      <c r="AH49">
        <f t="shared" si="111"/>
        <v>424.36</v>
      </c>
      <c r="AI49">
        <f t="shared" si="112"/>
        <v>424.36</v>
      </c>
      <c r="AJ49">
        <f t="shared" si="113"/>
        <v>424.36</v>
      </c>
      <c r="AK49">
        <f t="shared" si="114"/>
        <v>424.36</v>
      </c>
      <c r="AL49">
        <f t="shared" si="115"/>
        <v>424.36</v>
      </c>
      <c r="AM49">
        <f t="shared" si="116"/>
        <v>424.36</v>
      </c>
      <c r="AN49">
        <f t="shared" si="117"/>
        <v>424.36</v>
      </c>
      <c r="AO49">
        <f t="shared" si="118"/>
        <v>424.36</v>
      </c>
    </row>
    <row r="50" spans="2:41" x14ac:dyDescent="0.3">
      <c r="B50" s="4" t="s">
        <v>180</v>
      </c>
      <c r="D50">
        <f>0.25*SUM(D46:D48)</f>
        <v>275</v>
      </c>
      <c r="E50">
        <f t="shared" ref="E50:AO50" si="122">0.25*SUM(E46:E48)</f>
        <v>275</v>
      </c>
      <c r="F50">
        <f t="shared" si="122"/>
        <v>275</v>
      </c>
      <c r="G50">
        <f t="shared" si="122"/>
        <v>275</v>
      </c>
      <c r="H50">
        <f t="shared" si="122"/>
        <v>275</v>
      </c>
      <c r="I50">
        <f t="shared" si="122"/>
        <v>275</v>
      </c>
      <c r="J50">
        <f t="shared" si="122"/>
        <v>275</v>
      </c>
      <c r="K50">
        <f t="shared" si="122"/>
        <v>275</v>
      </c>
      <c r="L50">
        <f t="shared" si="122"/>
        <v>275</v>
      </c>
      <c r="M50">
        <f t="shared" si="122"/>
        <v>275</v>
      </c>
      <c r="N50">
        <f t="shared" si="122"/>
        <v>275</v>
      </c>
      <c r="O50">
        <f t="shared" si="122"/>
        <v>275</v>
      </c>
      <c r="Q50">
        <f t="shared" si="122"/>
        <v>566.5</v>
      </c>
      <c r="R50">
        <f t="shared" si="122"/>
        <v>566.5</v>
      </c>
      <c r="S50">
        <f t="shared" si="122"/>
        <v>566.5</v>
      </c>
      <c r="T50">
        <f t="shared" si="122"/>
        <v>566.5</v>
      </c>
      <c r="U50">
        <f t="shared" si="122"/>
        <v>566.5</v>
      </c>
      <c r="V50">
        <f t="shared" si="122"/>
        <v>566.5</v>
      </c>
      <c r="W50">
        <f t="shared" si="122"/>
        <v>566.5</v>
      </c>
      <c r="X50">
        <f t="shared" si="122"/>
        <v>566.5</v>
      </c>
      <c r="Y50">
        <f t="shared" si="122"/>
        <v>566.5</v>
      </c>
      <c r="Z50">
        <f t="shared" si="122"/>
        <v>566.5</v>
      </c>
      <c r="AA50">
        <f t="shared" si="122"/>
        <v>566.5</v>
      </c>
      <c r="AB50">
        <f t="shared" si="122"/>
        <v>566.5</v>
      </c>
      <c r="AD50">
        <f t="shared" si="122"/>
        <v>1166.99</v>
      </c>
      <c r="AE50">
        <f t="shared" si="122"/>
        <v>1166.99</v>
      </c>
      <c r="AF50">
        <f t="shared" si="122"/>
        <v>1166.99</v>
      </c>
      <c r="AG50">
        <f t="shared" si="122"/>
        <v>1166.99</v>
      </c>
      <c r="AH50">
        <f t="shared" si="122"/>
        <v>1166.99</v>
      </c>
      <c r="AI50">
        <f t="shared" si="122"/>
        <v>1166.99</v>
      </c>
      <c r="AJ50">
        <f t="shared" si="122"/>
        <v>1166.99</v>
      </c>
      <c r="AK50">
        <f t="shared" si="122"/>
        <v>1166.99</v>
      </c>
      <c r="AL50">
        <f t="shared" si="122"/>
        <v>1166.99</v>
      </c>
      <c r="AM50">
        <f t="shared" si="122"/>
        <v>1166.99</v>
      </c>
      <c r="AN50">
        <f t="shared" si="122"/>
        <v>1166.99</v>
      </c>
      <c r="AO50">
        <f t="shared" si="122"/>
        <v>1166.99</v>
      </c>
    </row>
    <row r="52" spans="2:41" x14ac:dyDescent="0.3">
      <c r="B52" s="2" t="s">
        <v>133</v>
      </c>
      <c r="D52" s="13">
        <f>SUM(D53:D59)</f>
        <v>1521.6666666666667</v>
      </c>
      <c r="E52" s="13">
        <f t="shared" ref="E52:R52" si="123">SUM(E53:E59)</f>
        <v>1521.6666666666667</v>
      </c>
      <c r="F52" s="13">
        <f t="shared" si="123"/>
        <v>1521.6666666666667</v>
      </c>
      <c r="G52" s="13">
        <f t="shared" si="123"/>
        <v>1521.6666666666667</v>
      </c>
      <c r="H52" s="13">
        <f t="shared" si="123"/>
        <v>1521.6666666666667</v>
      </c>
      <c r="I52" s="13">
        <f t="shared" si="123"/>
        <v>1521.6666666666667</v>
      </c>
      <c r="J52" s="13">
        <f t="shared" si="123"/>
        <v>1521.6666666666667</v>
      </c>
      <c r="K52" s="13">
        <f t="shared" si="123"/>
        <v>1521.6666666666667</v>
      </c>
      <c r="L52" s="13">
        <f t="shared" si="123"/>
        <v>1521.6666666666667</v>
      </c>
      <c r="M52" s="13">
        <f t="shared" si="123"/>
        <v>1521.6666666666667</v>
      </c>
      <c r="N52" s="13">
        <f t="shared" si="123"/>
        <v>1521.6666666666667</v>
      </c>
      <c r="O52" s="13">
        <f t="shared" si="123"/>
        <v>1521.6666666666667</v>
      </c>
      <c r="Q52" s="13">
        <f t="shared" si="123"/>
        <v>3134.6333333333337</v>
      </c>
      <c r="R52" s="13">
        <f t="shared" si="123"/>
        <v>3134.6333333333337</v>
      </c>
      <c r="S52" s="13">
        <f t="shared" ref="S52" si="124">SUM(S53:S59)</f>
        <v>3134.6333333333337</v>
      </c>
      <c r="T52" s="13">
        <f t="shared" ref="T52" si="125">SUM(T53:T59)</f>
        <v>3134.6333333333337</v>
      </c>
      <c r="U52" s="13">
        <f t="shared" ref="U52" si="126">SUM(U53:U59)</f>
        <v>3134.6333333333337</v>
      </c>
      <c r="V52" s="13">
        <f t="shared" ref="V52" si="127">SUM(V53:V59)</f>
        <v>3134.6333333333337</v>
      </c>
      <c r="W52" s="13">
        <f t="shared" ref="W52" si="128">SUM(W53:W59)</f>
        <v>3134.6333333333337</v>
      </c>
      <c r="X52" s="13">
        <f t="shared" ref="X52" si="129">SUM(X53:X59)</f>
        <v>3134.6333333333337</v>
      </c>
      <c r="Y52" s="13">
        <f t="shared" ref="Y52" si="130">SUM(Y53:Y59)</f>
        <v>3134.6333333333337</v>
      </c>
      <c r="Z52" s="13">
        <f t="shared" ref="Z52" si="131">SUM(Z53:Z59)</f>
        <v>3134.6333333333337</v>
      </c>
      <c r="AA52" s="13">
        <f t="shared" ref="AA52" si="132">SUM(AA53:AA59)</f>
        <v>3134.6333333333337</v>
      </c>
      <c r="AB52" s="13">
        <f t="shared" ref="AB52" si="133">SUM(AB53:AB59)</f>
        <v>3134.6333333333337</v>
      </c>
      <c r="AC52" s="13"/>
      <c r="AD52" s="13">
        <f t="shared" ref="AD52:AO52" si="134">SUM(AD53:AD59)</f>
        <v>7157.5386666666682</v>
      </c>
      <c r="AE52" s="13">
        <f t="shared" si="134"/>
        <v>7157.5386666666682</v>
      </c>
      <c r="AF52" s="13">
        <f t="shared" si="134"/>
        <v>7157.5386666666682</v>
      </c>
      <c r="AG52" s="13">
        <f t="shared" si="134"/>
        <v>7157.5386666666682</v>
      </c>
      <c r="AH52" s="13">
        <f t="shared" si="134"/>
        <v>7157.5386666666682</v>
      </c>
      <c r="AI52" s="13">
        <f t="shared" si="134"/>
        <v>7157.5386666666682</v>
      </c>
      <c r="AJ52" s="13">
        <f t="shared" si="134"/>
        <v>7157.5386666666682</v>
      </c>
      <c r="AK52" s="13">
        <f t="shared" si="134"/>
        <v>7157.5386666666682</v>
      </c>
      <c r="AL52" s="13">
        <f t="shared" si="134"/>
        <v>7157.5386666666682</v>
      </c>
      <c r="AM52" s="13">
        <f t="shared" si="134"/>
        <v>7157.5386666666682</v>
      </c>
      <c r="AN52" s="13">
        <f t="shared" si="134"/>
        <v>7157.5386666666682</v>
      </c>
      <c r="AO52" s="13">
        <f t="shared" si="134"/>
        <v>7157.5386666666682</v>
      </c>
    </row>
    <row r="53" spans="2:41" x14ac:dyDescent="0.3">
      <c r="B53" s="4" t="s">
        <v>156</v>
      </c>
      <c r="D53">
        <f>200</f>
        <v>200</v>
      </c>
      <c r="E53">
        <f>200</f>
        <v>200</v>
      </c>
      <c r="F53">
        <f>200</f>
        <v>200</v>
      </c>
      <c r="G53">
        <f>200</f>
        <v>200</v>
      </c>
      <c r="H53">
        <f>200</f>
        <v>200</v>
      </c>
      <c r="I53">
        <f>200</f>
        <v>200</v>
      </c>
      <c r="J53">
        <f>200</f>
        <v>200</v>
      </c>
      <c r="K53">
        <f>200</f>
        <v>200</v>
      </c>
      <c r="L53">
        <f>200</f>
        <v>200</v>
      </c>
      <c r="M53">
        <f>200</f>
        <v>200</v>
      </c>
      <c r="N53">
        <f>200</f>
        <v>200</v>
      </c>
      <c r="O53">
        <f>200</f>
        <v>200</v>
      </c>
      <c r="Q53">
        <f>O53*1.03*2</f>
        <v>412</v>
      </c>
      <c r="R53">
        <f>Q53</f>
        <v>412</v>
      </c>
      <c r="S53">
        <f t="shared" ref="S53:AB53" si="135">R53</f>
        <v>412</v>
      </c>
      <c r="T53">
        <f t="shared" si="135"/>
        <v>412</v>
      </c>
      <c r="U53">
        <f t="shared" si="135"/>
        <v>412</v>
      </c>
      <c r="V53">
        <f t="shared" si="135"/>
        <v>412</v>
      </c>
      <c r="W53">
        <f t="shared" si="135"/>
        <v>412</v>
      </c>
      <c r="X53">
        <f t="shared" si="135"/>
        <v>412</v>
      </c>
      <c r="Y53">
        <f t="shared" si="135"/>
        <v>412</v>
      </c>
      <c r="Z53">
        <f t="shared" si="135"/>
        <v>412</v>
      </c>
      <c r="AA53">
        <f t="shared" si="135"/>
        <v>412</v>
      </c>
      <c r="AB53">
        <f t="shared" si="135"/>
        <v>412</v>
      </c>
      <c r="AD53">
        <f>AB53*1.03*2</f>
        <v>848.72</v>
      </c>
      <c r="AE53">
        <f>AD53</f>
        <v>848.72</v>
      </c>
      <c r="AF53">
        <f t="shared" ref="AF53:AF57" si="136">AE53</f>
        <v>848.72</v>
      </c>
      <c r="AG53">
        <f t="shared" ref="AG53:AG57" si="137">AF53</f>
        <v>848.72</v>
      </c>
      <c r="AH53">
        <f t="shared" ref="AH53:AH57" si="138">AG53</f>
        <v>848.72</v>
      </c>
      <c r="AI53">
        <f t="shared" ref="AI53:AI57" si="139">AH53</f>
        <v>848.72</v>
      </c>
      <c r="AJ53">
        <f t="shared" ref="AJ53:AJ57" si="140">AI53</f>
        <v>848.72</v>
      </c>
      <c r="AK53">
        <f t="shared" ref="AK53:AK57" si="141">AJ53</f>
        <v>848.72</v>
      </c>
      <c r="AL53">
        <f t="shared" ref="AL53:AL57" si="142">AK53</f>
        <v>848.72</v>
      </c>
      <c r="AM53">
        <f t="shared" ref="AM53:AM57" si="143">AL53</f>
        <v>848.72</v>
      </c>
      <c r="AN53">
        <f t="shared" ref="AN53:AN57" si="144">AM53</f>
        <v>848.72</v>
      </c>
      <c r="AO53">
        <f t="shared" ref="AO53:AO57" si="145">AN53</f>
        <v>848.72</v>
      </c>
    </row>
    <row r="54" spans="2:41" x14ac:dyDescent="0.3">
      <c r="B54" s="4" t="s">
        <v>157</v>
      </c>
      <c r="D54" s="6">
        <f>10000/12</f>
        <v>833.33333333333337</v>
      </c>
      <c r="E54" s="6">
        <f t="shared" ref="E54:O54" si="146">10000/12</f>
        <v>833.33333333333337</v>
      </c>
      <c r="F54" s="6">
        <f t="shared" si="146"/>
        <v>833.33333333333337</v>
      </c>
      <c r="G54" s="6">
        <f t="shared" si="146"/>
        <v>833.33333333333337</v>
      </c>
      <c r="H54" s="6">
        <f t="shared" si="146"/>
        <v>833.33333333333337</v>
      </c>
      <c r="I54" s="6">
        <f t="shared" si="146"/>
        <v>833.33333333333337</v>
      </c>
      <c r="J54" s="6">
        <f t="shared" si="146"/>
        <v>833.33333333333337</v>
      </c>
      <c r="K54" s="6">
        <f t="shared" si="146"/>
        <v>833.33333333333337</v>
      </c>
      <c r="L54" s="6">
        <f t="shared" si="146"/>
        <v>833.33333333333337</v>
      </c>
      <c r="M54" s="6">
        <f t="shared" si="146"/>
        <v>833.33333333333337</v>
      </c>
      <c r="N54" s="6">
        <f t="shared" si="146"/>
        <v>833.33333333333337</v>
      </c>
      <c r="O54" s="6">
        <f t="shared" si="146"/>
        <v>833.33333333333337</v>
      </c>
      <c r="Q54" s="7">
        <f>O54*1.03*2</f>
        <v>1716.6666666666667</v>
      </c>
      <c r="R54">
        <f t="shared" ref="R54:AB57" si="147">Q54</f>
        <v>1716.6666666666667</v>
      </c>
      <c r="S54">
        <f t="shared" si="147"/>
        <v>1716.6666666666667</v>
      </c>
      <c r="T54">
        <f t="shared" si="147"/>
        <v>1716.6666666666667</v>
      </c>
      <c r="U54">
        <f t="shared" si="147"/>
        <v>1716.6666666666667</v>
      </c>
      <c r="V54">
        <f t="shared" si="147"/>
        <v>1716.6666666666667</v>
      </c>
      <c r="W54">
        <f t="shared" si="147"/>
        <v>1716.6666666666667</v>
      </c>
      <c r="X54">
        <f t="shared" si="147"/>
        <v>1716.6666666666667</v>
      </c>
      <c r="Y54">
        <f t="shared" si="147"/>
        <v>1716.6666666666667</v>
      </c>
      <c r="Z54">
        <f t="shared" si="147"/>
        <v>1716.6666666666667</v>
      </c>
      <c r="AA54">
        <f t="shared" si="147"/>
        <v>1716.6666666666667</v>
      </c>
      <c r="AB54">
        <f t="shared" si="147"/>
        <v>1716.6666666666667</v>
      </c>
      <c r="AD54" s="7">
        <f>AB54*1.03*2</f>
        <v>3536.3333333333335</v>
      </c>
      <c r="AE54">
        <f t="shared" ref="AE54:AE57" si="148">AD54</f>
        <v>3536.3333333333335</v>
      </c>
      <c r="AF54">
        <f t="shared" si="136"/>
        <v>3536.3333333333335</v>
      </c>
      <c r="AG54">
        <f t="shared" si="137"/>
        <v>3536.3333333333335</v>
      </c>
      <c r="AH54">
        <f t="shared" si="138"/>
        <v>3536.3333333333335</v>
      </c>
      <c r="AI54">
        <f t="shared" si="139"/>
        <v>3536.3333333333335</v>
      </c>
      <c r="AJ54">
        <f t="shared" si="140"/>
        <v>3536.3333333333335</v>
      </c>
      <c r="AK54">
        <f t="shared" si="141"/>
        <v>3536.3333333333335</v>
      </c>
      <c r="AL54">
        <f t="shared" si="142"/>
        <v>3536.3333333333335</v>
      </c>
      <c r="AM54">
        <f t="shared" si="143"/>
        <v>3536.3333333333335</v>
      </c>
      <c r="AN54">
        <f t="shared" si="144"/>
        <v>3536.3333333333335</v>
      </c>
      <c r="AO54">
        <f t="shared" si="145"/>
        <v>3536.3333333333335</v>
      </c>
    </row>
    <row r="55" spans="2:41" x14ac:dyDescent="0.3">
      <c r="B55" s="4" t="s">
        <v>158</v>
      </c>
      <c r="D55">
        <f>250</f>
        <v>250</v>
      </c>
      <c r="E55">
        <f>250</f>
        <v>250</v>
      </c>
      <c r="F55">
        <f>250</f>
        <v>250</v>
      </c>
      <c r="G55">
        <f>250</f>
        <v>250</v>
      </c>
      <c r="H55">
        <f>250</f>
        <v>250</v>
      </c>
      <c r="I55">
        <f>250</f>
        <v>250</v>
      </c>
      <c r="J55">
        <f>250</f>
        <v>250</v>
      </c>
      <c r="K55">
        <f>250</f>
        <v>250</v>
      </c>
      <c r="L55">
        <f>250</f>
        <v>250</v>
      </c>
      <c r="M55">
        <f>250</f>
        <v>250</v>
      </c>
      <c r="N55">
        <f>250</f>
        <v>250</v>
      </c>
      <c r="O55">
        <f>250</f>
        <v>250</v>
      </c>
      <c r="Q55" s="7">
        <f>O55*1.03*2</f>
        <v>515</v>
      </c>
      <c r="R55">
        <f t="shared" si="147"/>
        <v>515</v>
      </c>
      <c r="S55">
        <f t="shared" si="147"/>
        <v>515</v>
      </c>
      <c r="T55">
        <f t="shared" si="147"/>
        <v>515</v>
      </c>
      <c r="U55">
        <f t="shared" si="147"/>
        <v>515</v>
      </c>
      <c r="V55">
        <f t="shared" si="147"/>
        <v>515</v>
      </c>
      <c r="W55">
        <f t="shared" si="147"/>
        <v>515</v>
      </c>
      <c r="X55">
        <f t="shared" si="147"/>
        <v>515</v>
      </c>
      <c r="Y55">
        <f t="shared" si="147"/>
        <v>515</v>
      </c>
      <c r="Z55">
        <f t="shared" si="147"/>
        <v>515</v>
      </c>
      <c r="AA55">
        <f t="shared" si="147"/>
        <v>515</v>
      </c>
      <c r="AB55">
        <f t="shared" si="147"/>
        <v>515</v>
      </c>
      <c r="AD55" s="7">
        <f>AB55*1.03*3</f>
        <v>1591.3500000000001</v>
      </c>
      <c r="AE55">
        <f t="shared" si="148"/>
        <v>1591.3500000000001</v>
      </c>
      <c r="AF55">
        <f t="shared" si="136"/>
        <v>1591.3500000000001</v>
      </c>
      <c r="AG55">
        <f t="shared" si="137"/>
        <v>1591.3500000000001</v>
      </c>
      <c r="AH55">
        <f t="shared" si="138"/>
        <v>1591.3500000000001</v>
      </c>
      <c r="AI55">
        <f t="shared" si="139"/>
        <v>1591.3500000000001</v>
      </c>
      <c r="AJ55">
        <f t="shared" si="140"/>
        <v>1591.3500000000001</v>
      </c>
      <c r="AK55">
        <f t="shared" si="141"/>
        <v>1591.3500000000001</v>
      </c>
      <c r="AL55">
        <f t="shared" si="142"/>
        <v>1591.3500000000001</v>
      </c>
      <c r="AM55">
        <f t="shared" si="143"/>
        <v>1591.3500000000001</v>
      </c>
      <c r="AN55">
        <f t="shared" si="144"/>
        <v>1591.3500000000001</v>
      </c>
      <c r="AO55">
        <f t="shared" si="145"/>
        <v>1591.3500000000001</v>
      </c>
    </row>
    <row r="56" spans="2:41" x14ac:dyDescent="0.3">
      <c r="B56" s="4" t="s">
        <v>159</v>
      </c>
      <c r="D56">
        <f>50</f>
        <v>50</v>
      </c>
      <c r="E56">
        <f>50</f>
        <v>50</v>
      </c>
      <c r="F56">
        <f>50</f>
        <v>50</v>
      </c>
      <c r="G56">
        <f>50</f>
        <v>50</v>
      </c>
      <c r="H56">
        <f>50</f>
        <v>50</v>
      </c>
      <c r="I56">
        <f>50</f>
        <v>50</v>
      </c>
      <c r="J56">
        <f>50</f>
        <v>50</v>
      </c>
      <c r="K56">
        <f>50</f>
        <v>50</v>
      </c>
      <c r="L56">
        <f>50</f>
        <v>50</v>
      </c>
      <c r="M56">
        <f>50</f>
        <v>50</v>
      </c>
      <c r="N56">
        <f>50</f>
        <v>50</v>
      </c>
      <c r="O56">
        <f>50</f>
        <v>50</v>
      </c>
      <c r="Q56" s="7">
        <f>O56*1.03*2</f>
        <v>103</v>
      </c>
      <c r="R56">
        <f t="shared" si="147"/>
        <v>103</v>
      </c>
      <c r="S56">
        <f t="shared" si="147"/>
        <v>103</v>
      </c>
      <c r="T56">
        <f t="shared" si="147"/>
        <v>103</v>
      </c>
      <c r="U56">
        <f t="shared" si="147"/>
        <v>103</v>
      </c>
      <c r="V56">
        <f t="shared" si="147"/>
        <v>103</v>
      </c>
      <c r="W56">
        <f t="shared" si="147"/>
        <v>103</v>
      </c>
      <c r="X56">
        <f t="shared" si="147"/>
        <v>103</v>
      </c>
      <c r="Y56">
        <f t="shared" si="147"/>
        <v>103</v>
      </c>
      <c r="Z56">
        <f t="shared" si="147"/>
        <v>103</v>
      </c>
      <c r="AA56">
        <f t="shared" si="147"/>
        <v>103</v>
      </c>
      <c r="AB56">
        <f t="shared" si="147"/>
        <v>103</v>
      </c>
      <c r="AD56" s="7">
        <f>AB56*1.03*3</f>
        <v>318.27</v>
      </c>
      <c r="AE56">
        <f t="shared" si="148"/>
        <v>318.27</v>
      </c>
      <c r="AF56">
        <f t="shared" si="136"/>
        <v>318.27</v>
      </c>
      <c r="AG56">
        <f t="shared" si="137"/>
        <v>318.27</v>
      </c>
      <c r="AH56">
        <f t="shared" si="138"/>
        <v>318.27</v>
      </c>
      <c r="AI56">
        <f t="shared" si="139"/>
        <v>318.27</v>
      </c>
      <c r="AJ56">
        <f t="shared" si="140"/>
        <v>318.27</v>
      </c>
      <c r="AK56">
        <f t="shared" si="141"/>
        <v>318.27</v>
      </c>
      <c r="AL56">
        <f t="shared" si="142"/>
        <v>318.27</v>
      </c>
      <c r="AM56">
        <f t="shared" si="143"/>
        <v>318.27</v>
      </c>
      <c r="AN56">
        <f t="shared" si="144"/>
        <v>318.27</v>
      </c>
      <c r="AO56">
        <f t="shared" si="145"/>
        <v>318.27</v>
      </c>
    </row>
    <row r="57" spans="2:41" x14ac:dyDescent="0.3">
      <c r="B57" s="4" t="s">
        <v>181</v>
      </c>
      <c r="D57">
        <v>50</v>
      </c>
      <c r="E57">
        <v>50</v>
      </c>
      <c r="F57">
        <v>50</v>
      </c>
      <c r="G57">
        <v>50</v>
      </c>
      <c r="H57">
        <v>50</v>
      </c>
      <c r="I57">
        <v>50</v>
      </c>
      <c r="J57">
        <v>50</v>
      </c>
      <c r="K57">
        <v>50</v>
      </c>
      <c r="L57">
        <v>50</v>
      </c>
      <c r="M57">
        <v>50</v>
      </c>
      <c r="N57">
        <v>50</v>
      </c>
      <c r="O57">
        <v>50</v>
      </c>
      <c r="Q57" s="7">
        <f>O57*1.03*2</f>
        <v>103</v>
      </c>
      <c r="R57">
        <f t="shared" si="147"/>
        <v>103</v>
      </c>
      <c r="S57">
        <f t="shared" si="147"/>
        <v>103</v>
      </c>
      <c r="T57">
        <f t="shared" si="147"/>
        <v>103</v>
      </c>
      <c r="U57">
        <f t="shared" si="147"/>
        <v>103</v>
      </c>
      <c r="V57">
        <f t="shared" si="147"/>
        <v>103</v>
      </c>
      <c r="W57">
        <f t="shared" si="147"/>
        <v>103</v>
      </c>
      <c r="X57">
        <f t="shared" si="147"/>
        <v>103</v>
      </c>
      <c r="Y57">
        <f t="shared" si="147"/>
        <v>103</v>
      </c>
      <c r="Z57">
        <f t="shared" si="147"/>
        <v>103</v>
      </c>
      <c r="AA57">
        <f t="shared" si="147"/>
        <v>103</v>
      </c>
      <c r="AB57">
        <f t="shared" si="147"/>
        <v>103</v>
      </c>
      <c r="AD57" s="7">
        <f>AB57*1.03*2</f>
        <v>212.18</v>
      </c>
      <c r="AE57">
        <f t="shared" si="148"/>
        <v>212.18</v>
      </c>
      <c r="AF57">
        <f t="shared" si="136"/>
        <v>212.18</v>
      </c>
      <c r="AG57">
        <f t="shared" si="137"/>
        <v>212.18</v>
      </c>
      <c r="AH57">
        <f t="shared" si="138"/>
        <v>212.18</v>
      </c>
      <c r="AI57">
        <f t="shared" si="139"/>
        <v>212.18</v>
      </c>
      <c r="AJ57">
        <f t="shared" si="140"/>
        <v>212.18</v>
      </c>
      <c r="AK57">
        <f t="shared" si="141"/>
        <v>212.18</v>
      </c>
      <c r="AL57">
        <f t="shared" si="142"/>
        <v>212.18</v>
      </c>
      <c r="AM57">
        <f t="shared" si="143"/>
        <v>212.18</v>
      </c>
      <c r="AN57">
        <f t="shared" si="144"/>
        <v>212.18</v>
      </c>
      <c r="AO57">
        <f t="shared" si="145"/>
        <v>212.18</v>
      </c>
    </row>
    <row r="58" spans="2:41" x14ac:dyDescent="0.3">
      <c r="B58" s="4" t="s">
        <v>160</v>
      </c>
    </row>
    <row r="59" spans="2:41" x14ac:dyDescent="0.3">
      <c r="B59" s="4" t="s">
        <v>182</v>
      </c>
      <c r="D59" s="6">
        <f>0.1*SUM(D53:D58)</f>
        <v>138.33333333333334</v>
      </c>
      <c r="E59" s="6">
        <f t="shared" ref="E59:Q59" si="149">0.1*SUM(E53:E58)</f>
        <v>138.33333333333334</v>
      </c>
      <c r="F59" s="6">
        <f t="shared" si="149"/>
        <v>138.33333333333334</v>
      </c>
      <c r="G59" s="6">
        <f t="shared" si="149"/>
        <v>138.33333333333334</v>
      </c>
      <c r="H59" s="6">
        <f t="shared" si="149"/>
        <v>138.33333333333334</v>
      </c>
      <c r="I59" s="6">
        <f t="shared" si="149"/>
        <v>138.33333333333334</v>
      </c>
      <c r="J59" s="6">
        <f t="shared" si="149"/>
        <v>138.33333333333334</v>
      </c>
      <c r="K59" s="6">
        <f t="shared" si="149"/>
        <v>138.33333333333334</v>
      </c>
      <c r="L59" s="6">
        <f t="shared" si="149"/>
        <v>138.33333333333334</v>
      </c>
      <c r="M59" s="6">
        <f t="shared" si="149"/>
        <v>138.33333333333334</v>
      </c>
      <c r="N59" s="6">
        <f t="shared" si="149"/>
        <v>138.33333333333334</v>
      </c>
      <c r="O59" s="6">
        <f t="shared" si="149"/>
        <v>138.33333333333334</v>
      </c>
      <c r="Q59" s="6">
        <f t="shared" si="149"/>
        <v>284.9666666666667</v>
      </c>
      <c r="R59" s="6">
        <f t="shared" ref="R59" si="150">0.1*SUM(R53:R58)</f>
        <v>284.9666666666667</v>
      </c>
      <c r="S59" s="6">
        <f t="shared" ref="S59" si="151">0.1*SUM(S53:S58)</f>
        <v>284.9666666666667</v>
      </c>
      <c r="T59" s="6">
        <f t="shared" ref="T59" si="152">0.1*SUM(T53:T58)</f>
        <v>284.9666666666667</v>
      </c>
      <c r="U59" s="6">
        <f t="shared" ref="U59" si="153">0.1*SUM(U53:U58)</f>
        <v>284.9666666666667</v>
      </c>
      <c r="V59" s="6">
        <f t="shared" ref="V59" si="154">0.1*SUM(V53:V58)</f>
        <v>284.9666666666667</v>
      </c>
      <c r="W59" s="6">
        <f t="shared" ref="W59" si="155">0.1*SUM(W53:W58)</f>
        <v>284.9666666666667</v>
      </c>
      <c r="X59" s="6">
        <f t="shared" ref="X59" si="156">0.1*SUM(X53:X58)</f>
        <v>284.9666666666667</v>
      </c>
      <c r="Y59" s="6">
        <f t="shared" ref="Y59" si="157">0.1*SUM(Y53:Y58)</f>
        <v>284.9666666666667</v>
      </c>
      <c r="Z59" s="6">
        <f t="shared" ref="Z59" si="158">0.1*SUM(Z53:Z58)</f>
        <v>284.9666666666667</v>
      </c>
      <c r="AA59" s="6">
        <f t="shared" ref="AA59" si="159">0.1*SUM(AA53:AA58)</f>
        <v>284.9666666666667</v>
      </c>
      <c r="AB59" s="6">
        <f t="shared" ref="AB59" si="160">0.1*SUM(AB53:AB58)</f>
        <v>284.9666666666667</v>
      </c>
      <c r="AD59" s="6">
        <f t="shared" ref="AD59:AO59" si="161">0.1*SUM(AD53:AD58)</f>
        <v>650.68533333333346</v>
      </c>
      <c r="AE59" s="6">
        <f t="shared" si="161"/>
        <v>650.68533333333346</v>
      </c>
      <c r="AF59" s="6">
        <f t="shared" si="161"/>
        <v>650.68533333333346</v>
      </c>
      <c r="AG59" s="6">
        <f t="shared" si="161"/>
        <v>650.68533333333346</v>
      </c>
      <c r="AH59" s="6">
        <f t="shared" si="161"/>
        <v>650.68533333333346</v>
      </c>
      <c r="AI59" s="6">
        <f t="shared" si="161"/>
        <v>650.68533333333346</v>
      </c>
      <c r="AJ59" s="6">
        <f t="shared" si="161"/>
        <v>650.68533333333346</v>
      </c>
      <c r="AK59" s="6">
        <f t="shared" si="161"/>
        <v>650.68533333333346</v>
      </c>
      <c r="AL59" s="6">
        <f t="shared" si="161"/>
        <v>650.68533333333346</v>
      </c>
      <c r="AM59" s="6">
        <f t="shared" si="161"/>
        <v>650.68533333333346</v>
      </c>
      <c r="AN59" s="6">
        <f t="shared" si="161"/>
        <v>650.68533333333346</v>
      </c>
      <c r="AO59" s="6">
        <f t="shared" si="161"/>
        <v>650.68533333333346</v>
      </c>
    </row>
    <row r="61" spans="2:41" x14ac:dyDescent="0.3">
      <c r="B61" s="2" t="s">
        <v>373</v>
      </c>
      <c r="D61" s="2">
        <f>SUM(D62:D70)</f>
        <v>1650</v>
      </c>
      <c r="E61" s="2">
        <f t="shared" ref="E61:Q61" si="162">SUM(E62:E70)</f>
        <v>1650</v>
      </c>
      <c r="F61" s="2">
        <f t="shared" si="162"/>
        <v>1650</v>
      </c>
      <c r="G61" s="2">
        <f t="shared" si="162"/>
        <v>1650</v>
      </c>
      <c r="H61" s="2">
        <f t="shared" si="162"/>
        <v>1650</v>
      </c>
      <c r="I61" s="2">
        <f t="shared" si="162"/>
        <v>1650</v>
      </c>
      <c r="J61" s="2">
        <f t="shared" si="162"/>
        <v>1980</v>
      </c>
      <c r="K61" s="2">
        <f t="shared" si="162"/>
        <v>1980</v>
      </c>
      <c r="L61" s="2">
        <f t="shared" si="162"/>
        <v>2046</v>
      </c>
      <c r="M61" s="2">
        <f t="shared" si="162"/>
        <v>2046</v>
      </c>
      <c r="N61" s="2">
        <f t="shared" si="162"/>
        <v>2046</v>
      </c>
      <c r="O61" s="2">
        <f t="shared" si="162"/>
        <v>2046</v>
      </c>
      <c r="Q61" s="2">
        <f t="shared" si="162"/>
        <v>2590.665</v>
      </c>
      <c r="R61" s="2">
        <f t="shared" ref="R61" si="163">SUM(R62:R70)</f>
        <v>2590.665</v>
      </c>
      <c r="S61" s="2">
        <f t="shared" ref="S61" si="164">SUM(S62:S70)</f>
        <v>2590.665</v>
      </c>
      <c r="T61" s="2">
        <f t="shared" ref="T61" si="165">SUM(T62:T70)</f>
        <v>2821.6649999999995</v>
      </c>
      <c r="U61" s="2">
        <f t="shared" ref="U61" si="166">SUM(U62:U70)</f>
        <v>2953.665</v>
      </c>
      <c r="V61" s="2">
        <f t="shared" ref="V61" si="167">SUM(V62:V70)</f>
        <v>2953.665</v>
      </c>
      <c r="W61" s="2">
        <f t="shared" ref="W61" si="168">SUM(W62:W70)</f>
        <v>2953.665</v>
      </c>
      <c r="X61" s="2">
        <f t="shared" ref="X61" si="169">SUM(X62:X70)</f>
        <v>2953.665</v>
      </c>
      <c r="Y61" s="2">
        <f t="shared" ref="Y61" si="170">SUM(Y62:Y70)</f>
        <v>2975.6649999999995</v>
      </c>
      <c r="Z61" s="2">
        <f t="shared" ref="Z61" si="171">SUM(Z62:Z70)</f>
        <v>3085.6649999999995</v>
      </c>
      <c r="AA61" s="2">
        <f t="shared" ref="AA61" si="172">SUM(AA62:AA70)</f>
        <v>3085.6649999999995</v>
      </c>
      <c r="AB61" s="2">
        <f t="shared" ref="AB61" si="173">SUM(AB62:AB70)</f>
        <v>3085.6649999999995</v>
      </c>
      <c r="AD61" s="2">
        <f t="shared" ref="AD61:AO61" si="174">SUM(AD62:AD70)</f>
        <v>3642.3249499999997</v>
      </c>
      <c r="AE61" s="2">
        <f t="shared" si="174"/>
        <v>3642.3249499999997</v>
      </c>
      <c r="AF61" s="2">
        <f t="shared" si="174"/>
        <v>3642.3249499999997</v>
      </c>
      <c r="AG61" s="2">
        <f t="shared" si="174"/>
        <v>3862.3249499999997</v>
      </c>
      <c r="AH61" s="2">
        <f t="shared" si="174"/>
        <v>3862.3249499999997</v>
      </c>
      <c r="AI61" s="2">
        <f t="shared" si="174"/>
        <v>3862.3249499999997</v>
      </c>
      <c r="AJ61" s="2">
        <f t="shared" si="174"/>
        <v>3862.3249499999997</v>
      </c>
      <c r="AK61" s="2">
        <f t="shared" si="174"/>
        <v>3862.3249499999997</v>
      </c>
      <c r="AL61" s="2">
        <f t="shared" si="174"/>
        <v>3862.3249499999997</v>
      </c>
      <c r="AM61" s="2">
        <f t="shared" si="174"/>
        <v>4060.3249499999997</v>
      </c>
      <c r="AN61" s="2">
        <f t="shared" si="174"/>
        <v>4060.3249499999997</v>
      </c>
      <c r="AO61" s="2">
        <f t="shared" si="174"/>
        <v>4060.3249499999997</v>
      </c>
    </row>
    <row r="62" spans="2:41" x14ac:dyDescent="0.3">
      <c r="B62" s="4" t="s">
        <v>183</v>
      </c>
      <c r="C62">
        <v>1</v>
      </c>
      <c r="D62">
        <f>C62*300</f>
        <v>300</v>
      </c>
      <c r="E62">
        <v>300</v>
      </c>
      <c r="F62">
        <v>300</v>
      </c>
      <c r="G62">
        <v>300</v>
      </c>
      <c r="H62">
        <v>300</v>
      </c>
      <c r="I62">
        <v>300</v>
      </c>
      <c r="J62">
        <v>300</v>
      </c>
      <c r="K62">
        <v>300</v>
      </c>
      <c r="L62">
        <v>300</v>
      </c>
      <c r="M62">
        <v>300</v>
      </c>
      <c r="N62">
        <v>300</v>
      </c>
      <c r="O62">
        <v>300</v>
      </c>
      <c r="Q62">
        <f>O62*1.03</f>
        <v>309</v>
      </c>
      <c r="R62">
        <f>Q62</f>
        <v>309</v>
      </c>
      <c r="S62">
        <f t="shared" ref="S62:AB62" si="175">R62</f>
        <v>309</v>
      </c>
      <c r="T62">
        <f t="shared" si="175"/>
        <v>309</v>
      </c>
      <c r="U62">
        <f t="shared" si="175"/>
        <v>309</v>
      </c>
      <c r="V62">
        <f t="shared" si="175"/>
        <v>309</v>
      </c>
      <c r="W62">
        <f t="shared" si="175"/>
        <v>309</v>
      </c>
      <c r="X62">
        <f t="shared" si="175"/>
        <v>309</v>
      </c>
      <c r="Y62">
        <f t="shared" si="175"/>
        <v>309</v>
      </c>
      <c r="Z62">
        <f t="shared" si="175"/>
        <v>309</v>
      </c>
      <c r="AA62">
        <f t="shared" si="175"/>
        <v>309</v>
      </c>
      <c r="AB62">
        <f t="shared" si="175"/>
        <v>309</v>
      </c>
      <c r="AD62">
        <f>AB62*1.03</f>
        <v>318.27</v>
      </c>
      <c r="AE62">
        <f>AD62</f>
        <v>318.27</v>
      </c>
      <c r="AF62">
        <f t="shared" ref="AF62:AF68" si="176">AE62</f>
        <v>318.27</v>
      </c>
      <c r="AG62">
        <f t="shared" ref="AG62:AG68" si="177">AF62</f>
        <v>318.27</v>
      </c>
      <c r="AH62">
        <f t="shared" ref="AH62:AH68" si="178">AG62</f>
        <v>318.27</v>
      </c>
      <c r="AI62">
        <f t="shared" ref="AI62:AI68" si="179">AH62</f>
        <v>318.27</v>
      </c>
      <c r="AJ62">
        <f t="shared" ref="AJ62:AJ68" si="180">AI62</f>
        <v>318.27</v>
      </c>
      <c r="AK62">
        <f t="shared" ref="AK62:AK68" si="181">AJ62</f>
        <v>318.27</v>
      </c>
      <c r="AL62">
        <f t="shared" ref="AL62:AL68" si="182">AK62</f>
        <v>318.27</v>
      </c>
      <c r="AM62">
        <f t="shared" ref="AM62:AM68" si="183">AL62</f>
        <v>318.27</v>
      </c>
      <c r="AN62">
        <f t="shared" ref="AN62:AN68" si="184">AM62</f>
        <v>318.27</v>
      </c>
      <c r="AO62">
        <f t="shared" ref="AO62:AO68" si="185">AN62</f>
        <v>318.27</v>
      </c>
    </row>
    <row r="63" spans="2:41" x14ac:dyDescent="0.3">
      <c r="B63" s="4" t="s">
        <v>184</v>
      </c>
      <c r="C63">
        <v>9</v>
      </c>
      <c r="D63">
        <f>C63*25</f>
        <v>225</v>
      </c>
      <c r="E63">
        <f>D63</f>
        <v>225</v>
      </c>
      <c r="F63">
        <f t="shared" ref="F63:O63" si="186">E63</f>
        <v>225</v>
      </c>
      <c r="G63">
        <f t="shared" si="186"/>
        <v>225</v>
      </c>
      <c r="H63">
        <f t="shared" si="186"/>
        <v>225</v>
      </c>
      <c r="I63">
        <f t="shared" si="186"/>
        <v>225</v>
      </c>
      <c r="J63">
        <f t="shared" si="186"/>
        <v>225</v>
      </c>
      <c r="K63">
        <f t="shared" si="186"/>
        <v>225</v>
      </c>
      <c r="L63">
        <f t="shared" si="186"/>
        <v>225</v>
      </c>
      <c r="M63">
        <f t="shared" si="186"/>
        <v>225</v>
      </c>
      <c r="N63">
        <f t="shared" si="186"/>
        <v>225</v>
      </c>
      <c r="O63">
        <f t="shared" si="186"/>
        <v>225</v>
      </c>
      <c r="Q63">
        <f>20*25</f>
        <v>500</v>
      </c>
      <c r="R63">
        <f t="shared" ref="R63:AB68" si="187">Q63</f>
        <v>500</v>
      </c>
      <c r="S63">
        <f t="shared" si="187"/>
        <v>500</v>
      </c>
      <c r="T63">
        <f t="shared" si="187"/>
        <v>500</v>
      </c>
      <c r="U63">
        <f t="shared" si="187"/>
        <v>500</v>
      </c>
      <c r="V63">
        <f t="shared" si="187"/>
        <v>500</v>
      </c>
      <c r="W63">
        <f t="shared" si="187"/>
        <v>500</v>
      </c>
      <c r="X63">
        <f t="shared" si="187"/>
        <v>500</v>
      </c>
      <c r="Y63">
        <f t="shared" si="187"/>
        <v>500</v>
      </c>
      <c r="Z63">
        <f t="shared" si="187"/>
        <v>500</v>
      </c>
      <c r="AA63">
        <f t="shared" si="187"/>
        <v>500</v>
      </c>
      <c r="AB63">
        <f t="shared" si="187"/>
        <v>500</v>
      </c>
      <c r="AD63">
        <f t="shared" ref="AD63:AD68" si="188">AB63*1.03</f>
        <v>515</v>
      </c>
      <c r="AE63">
        <f t="shared" ref="AE63:AE68" si="189">AD63</f>
        <v>515</v>
      </c>
      <c r="AF63">
        <f t="shared" si="176"/>
        <v>515</v>
      </c>
      <c r="AG63">
        <f t="shared" si="177"/>
        <v>515</v>
      </c>
      <c r="AH63">
        <f t="shared" si="178"/>
        <v>515</v>
      </c>
      <c r="AI63">
        <f t="shared" si="179"/>
        <v>515</v>
      </c>
      <c r="AJ63">
        <f t="shared" si="180"/>
        <v>515</v>
      </c>
      <c r="AK63">
        <f t="shared" si="181"/>
        <v>515</v>
      </c>
      <c r="AL63">
        <f t="shared" si="182"/>
        <v>515</v>
      </c>
      <c r="AM63">
        <f t="shared" si="183"/>
        <v>515</v>
      </c>
      <c r="AN63">
        <f t="shared" si="184"/>
        <v>515</v>
      </c>
      <c r="AO63">
        <f t="shared" si="185"/>
        <v>515</v>
      </c>
    </row>
    <row r="64" spans="2:41" x14ac:dyDescent="0.3">
      <c r="B64" s="4" t="s">
        <v>185</v>
      </c>
      <c r="C64">
        <v>1</v>
      </c>
      <c r="D64">
        <f>C64*85</f>
        <v>85</v>
      </c>
      <c r="E64">
        <f>D64</f>
        <v>85</v>
      </c>
      <c r="F64">
        <f t="shared" ref="F64:O64" si="190">E64</f>
        <v>85</v>
      </c>
      <c r="G64">
        <f t="shared" si="190"/>
        <v>85</v>
      </c>
      <c r="H64">
        <f t="shared" si="190"/>
        <v>85</v>
      </c>
      <c r="I64">
        <f t="shared" si="190"/>
        <v>85</v>
      </c>
      <c r="J64">
        <f t="shared" si="190"/>
        <v>85</v>
      </c>
      <c r="K64">
        <f t="shared" si="190"/>
        <v>85</v>
      </c>
      <c r="L64">
        <f t="shared" si="190"/>
        <v>85</v>
      </c>
      <c r="M64">
        <f t="shared" si="190"/>
        <v>85</v>
      </c>
      <c r="N64">
        <f t="shared" si="190"/>
        <v>85</v>
      </c>
      <c r="O64">
        <f t="shared" si="190"/>
        <v>85</v>
      </c>
      <c r="Q64">
        <f t="shared" ref="Q64:Q68" si="191">O64*1.03</f>
        <v>87.55</v>
      </c>
      <c r="R64">
        <f t="shared" si="187"/>
        <v>87.55</v>
      </c>
      <c r="S64">
        <f t="shared" si="187"/>
        <v>87.55</v>
      </c>
      <c r="T64">
        <f t="shared" si="187"/>
        <v>87.55</v>
      </c>
      <c r="U64">
        <f t="shared" si="187"/>
        <v>87.55</v>
      </c>
      <c r="V64">
        <f t="shared" si="187"/>
        <v>87.55</v>
      </c>
      <c r="W64">
        <f t="shared" si="187"/>
        <v>87.55</v>
      </c>
      <c r="X64">
        <f t="shared" si="187"/>
        <v>87.55</v>
      </c>
      <c r="Y64">
        <f t="shared" si="187"/>
        <v>87.55</v>
      </c>
      <c r="Z64">
        <f t="shared" si="187"/>
        <v>87.55</v>
      </c>
      <c r="AA64">
        <f t="shared" si="187"/>
        <v>87.55</v>
      </c>
      <c r="AB64">
        <f t="shared" si="187"/>
        <v>87.55</v>
      </c>
      <c r="AD64">
        <f t="shared" si="188"/>
        <v>90.176500000000004</v>
      </c>
      <c r="AE64">
        <f t="shared" si="189"/>
        <v>90.176500000000004</v>
      </c>
      <c r="AF64">
        <f t="shared" si="176"/>
        <v>90.176500000000004</v>
      </c>
      <c r="AG64">
        <f t="shared" si="177"/>
        <v>90.176500000000004</v>
      </c>
      <c r="AH64">
        <f t="shared" si="178"/>
        <v>90.176500000000004</v>
      </c>
      <c r="AI64">
        <f t="shared" si="179"/>
        <v>90.176500000000004</v>
      </c>
      <c r="AJ64">
        <f t="shared" si="180"/>
        <v>90.176500000000004</v>
      </c>
      <c r="AK64">
        <f t="shared" si="181"/>
        <v>90.176500000000004</v>
      </c>
      <c r="AL64">
        <f t="shared" si="182"/>
        <v>90.176500000000004</v>
      </c>
      <c r="AM64">
        <f t="shared" si="183"/>
        <v>90.176500000000004</v>
      </c>
      <c r="AN64">
        <f t="shared" si="184"/>
        <v>90.176500000000004</v>
      </c>
      <c r="AO64">
        <f t="shared" si="185"/>
        <v>90.176500000000004</v>
      </c>
    </row>
    <row r="65" spans="2:41" x14ac:dyDescent="0.3">
      <c r="B65" s="4" t="s">
        <v>186</v>
      </c>
      <c r="C65">
        <v>2</v>
      </c>
      <c r="D65">
        <f>C65*85</f>
        <v>170</v>
      </c>
      <c r="E65">
        <f>D65</f>
        <v>170</v>
      </c>
      <c r="F65">
        <f t="shared" ref="F65:O65" si="192">E65</f>
        <v>170</v>
      </c>
      <c r="G65">
        <f t="shared" si="192"/>
        <v>170</v>
      </c>
      <c r="H65">
        <f t="shared" si="192"/>
        <v>170</v>
      </c>
      <c r="I65">
        <f t="shared" si="192"/>
        <v>170</v>
      </c>
      <c r="J65">
        <f t="shared" si="192"/>
        <v>170</v>
      </c>
      <c r="K65">
        <f t="shared" si="192"/>
        <v>170</v>
      </c>
      <c r="L65">
        <f t="shared" si="192"/>
        <v>170</v>
      </c>
      <c r="M65">
        <f t="shared" si="192"/>
        <v>170</v>
      </c>
      <c r="N65">
        <f t="shared" si="192"/>
        <v>170</v>
      </c>
      <c r="O65">
        <f t="shared" si="192"/>
        <v>170</v>
      </c>
      <c r="Q65">
        <f t="shared" si="191"/>
        <v>175.1</v>
      </c>
      <c r="R65">
        <f t="shared" si="187"/>
        <v>175.1</v>
      </c>
      <c r="S65">
        <f t="shared" si="187"/>
        <v>175.1</v>
      </c>
      <c r="T65">
        <f t="shared" si="187"/>
        <v>175.1</v>
      </c>
      <c r="U65">
        <f t="shared" si="187"/>
        <v>175.1</v>
      </c>
      <c r="V65">
        <f t="shared" si="187"/>
        <v>175.1</v>
      </c>
      <c r="W65">
        <f t="shared" si="187"/>
        <v>175.1</v>
      </c>
      <c r="X65">
        <f t="shared" si="187"/>
        <v>175.1</v>
      </c>
      <c r="Y65">
        <f t="shared" si="187"/>
        <v>175.1</v>
      </c>
      <c r="Z65">
        <f t="shared" si="187"/>
        <v>175.1</v>
      </c>
      <c r="AA65">
        <f t="shared" si="187"/>
        <v>175.1</v>
      </c>
      <c r="AB65">
        <f t="shared" si="187"/>
        <v>175.1</v>
      </c>
      <c r="AD65">
        <f t="shared" si="188"/>
        <v>180.35300000000001</v>
      </c>
      <c r="AE65">
        <f t="shared" si="189"/>
        <v>180.35300000000001</v>
      </c>
      <c r="AF65">
        <f t="shared" si="176"/>
        <v>180.35300000000001</v>
      </c>
      <c r="AG65">
        <f t="shared" si="177"/>
        <v>180.35300000000001</v>
      </c>
      <c r="AH65">
        <f t="shared" si="178"/>
        <v>180.35300000000001</v>
      </c>
      <c r="AI65">
        <f t="shared" si="179"/>
        <v>180.35300000000001</v>
      </c>
      <c r="AJ65">
        <f t="shared" si="180"/>
        <v>180.35300000000001</v>
      </c>
      <c r="AK65">
        <f t="shared" si="181"/>
        <v>180.35300000000001</v>
      </c>
      <c r="AL65">
        <f t="shared" si="182"/>
        <v>180.35300000000001</v>
      </c>
      <c r="AM65">
        <f t="shared" si="183"/>
        <v>180.35300000000001</v>
      </c>
      <c r="AN65">
        <f t="shared" si="184"/>
        <v>180.35300000000001</v>
      </c>
      <c r="AO65">
        <f t="shared" si="185"/>
        <v>180.35300000000001</v>
      </c>
    </row>
    <row r="66" spans="2:41" x14ac:dyDescent="0.3">
      <c r="B66" s="4" t="s">
        <v>187</v>
      </c>
      <c r="C66">
        <v>1</v>
      </c>
      <c r="D66">
        <f>C66*150</f>
        <v>150</v>
      </c>
      <c r="E66">
        <f>D66</f>
        <v>150</v>
      </c>
      <c r="F66">
        <f t="shared" ref="F66:O66" si="193">E66</f>
        <v>150</v>
      </c>
      <c r="G66">
        <f t="shared" si="193"/>
        <v>150</v>
      </c>
      <c r="H66">
        <f t="shared" si="193"/>
        <v>150</v>
      </c>
      <c r="I66">
        <f t="shared" si="193"/>
        <v>150</v>
      </c>
      <c r="J66">
        <f t="shared" si="193"/>
        <v>150</v>
      </c>
      <c r="K66">
        <f t="shared" si="193"/>
        <v>150</v>
      </c>
      <c r="L66">
        <f t="shared" si="193"/>
        <v>150</v>
      </c>
      <c r="M66">
        <f t="shared" si="193"/>
        <v>150</v>
      </c>
      <c r="N66">
        <f t="shared" si="193"/>
        <v>150</v>
      </c>
      <c r="O66">
        <f t="shared" si="193"/>
        <v>150</v>
      </c>
      <c r="Q66">
        <f t="shared" si="191"/>
        <v>154.5</v>
      </c>
      <c r="R66">
        <f t="shared" si="187"/>
        <v>154.5</v>
      </c>
      <c r="S66">
        <f t="shared" si="187"/>
        <v>154.5</v>
      </c>
      <c r="T66">
        <f t="shared" si="187"/>
        <v>154.5</v>
      </c>
      <c r="U66">
        <f t="shared" si="187"/>
        <v>154.5</v>
      </c>
      <c r="V66">
        <f t="shared" si="187"/>
        <v>154.5</v>
      </c>
      <c r="W66">
        <f t="shared" si="187"/>
        <v>154.5</v>
      </c>
      <c r="X66">
        <f t="shared" si="187"/>
        <v>154.5</v>
      </c>
      <c r="Y66">
        <f t="shared" si="187"/>
        <v>154.5</v>
      </c>
      <c r="Z66">
        <f t="shared" si="187"/>
        <v>154.5</v>
      </c>
      <c r="AA66">
        <f t="shared" si="187"/>
        <v>154.5</v>
      </c>
      <c r="AB66">
        <f t="shared" si="187"/>
        <v>154.5</v>
      </c>
      <c r="AD66">
        <f t="shared" si="188"/>
        <v>159.13499999999999</v>
      </c>
      <c r="AE66">
        <f t="shared" si="189"/>
        <v>159.13499999999999</v>
      </c>
      <c r="AF66">
        <f t="shared" si="176"/>
        <v>159.13499999999999</v>
      </c>
      <c r="AG66">
        <f t="shared" si="177"/>
        <v>159.13499999999999</v>
      </c>
      <c r="AH66">
        <f t="shared" si="178"/>
        <v>159.13499999999999</v>
      </c>
      <c r="AI66">
        <f t="shared" si="179"/>
        <v>159.13499999999999</v>
      </c>
      <c r="AJ66">
        <f t="shared" si="180"/>
        <v>159.13499999999999</v>
      </c>
      <c r="AK66">
        <f t="shared" si="181"/>
        <v>159.13499999999999</v>
      </c>
      <c r="AL66">
        <f t="shared" si="182"/>
        <v>159.13499999999999</v>
      </c>
      <c r="AM66">
        <f t="shared" si="183"/>
        <v>159.13499999999999</v>
      </c>
      <c r="AN66">
        <f t="shared" si="184"/>
        <v>159.13499999999999</v>
      </c>
      <c r="AO66">
        <f t="shared" si="185"/>
        <v>159.13499999999999</v>
      </c>
    </row>
    <row r="67" spans="2:41" x14ac:dyDescent="0.3">
      <c r="B67" s="4" t="s">
        <v>188</v>
      </c>
      <c r="D67">
        <v>200</v>
      </c>
      <c r="E67">
        <v>200</v>
      </c>
      <c r="F67">
        <v>200</v>
      </c>
      <c r="G67">
        <v>200</v>
      </c>
      <c r="H67">
        <v>200</v>
      </c>
      <c r="I67">
        <v>200</v>
      </c>
      <c r="J67">
        <v>200</v>
      </c>
      <c r="K67">
        <v>200</v>
      </c>
      <c r="L67">
        <v>200</v>
      </c>
      <c r="M67">
        <v>200</v>
      </c>
      <c r="N67">
        <v>200</v>
      </c>
      <c r="O67">
        <v>200</v>
      </c>
      <c r="Q67">
        <f t="shared" si="191"/>
        <v>206</v>
      </c>
      <c r="R67">
        <f t="shared" si="187"/>
        <v>206</v>
      </c>
      <c r="S67">
        <f t="shared" si="187"/>
        <v>206</v>
      </c>
      <c r="T67">
        <f t="shared" si="187"/>
        <v>206</v>
      </c>
      <c r="U67">
        <f t="shared" si="187"/>
        <v>206</v>
      </c>
      <c r="V67">
        <f t="shared" si="187"/>
        <v>206</v>
      </c>
      <c r="W67">
        <f t="shared" si="187"/>
        <v>206</v>
      </c>
      <c r="X67">
        <f t="shared" si="187"/>
        <v>206</v>
      </c>
      <c r="Y67">
        <f t="shared" si="187"/>
        <v>206</v>
      </c>
      <c r="Z67">
        <f t="shared" si="187"/>
        <v>206</v>
      </c>
      <c r="AA67">
        <f t="shared" si="187"/>
        <v>206</v>
      </c>
      <c r="AB67">
        <f t="shared" si="187"/>
        <v>206</v>
      </c>
      <c r="AD67">
        <f t="shared" si="188"/>
        <v>212.18</v>
      </c>
      <c r="AE67">
        <f t="shared" si="189"/>
        <v>212.18</v>
      </c>
      <c r="AF67">
        <f t="shared" si="176"/>
        <v>212.18</v>
      </c>
      <c r="AG67">
        <f t="shared" si="177"/>
        <v>212.18</v>
      </c>
      <c r="AH67">
        <f t="shared" si="178"/>
        <v>212.18</v>
      </c>
      <c r="AI67">
        <f t="shared" si="179"/>
        <v>212.18</v>
      </c>
      <c r="AJ67">
        <f t="shared" si="180"/>
        <v>212.18</v>
      </c>
      <c r="AK67">
        <f t="shared" si="181"/>
        <v>212.18</v>
      </c>
      <c r="AL67">
        <f t="shared" si="182"/>
        <v>212.18</v>
      </c>
      <c r="AM67">
        <f t="shared" si="183"/>
        <v>212.18</v>
      </c>
      <c r="AN67">
        <f t="shared" si="184"/>
        <v>212.18</v>
      </c>
      <c r="AO67">
        <f t="shared" si="185"/>
        <v>212.18</v>
      </c>
    </row>
    <row r="68" spans="2:41" x14ac:dyDescent="0.3">
      <c r="B68" s="4" t="s">
        <v>126</v>
      </c>
      <c r="D68">
        <v>100</v>
      </c>
      <c r="E68">
        <v>100</v>
      </c>
      <c r="F68">
        <v>100</v>
      </c>
      <c r="G68">
        <v>100</v>
      </c>
      <c r="H68">
        <v>100</v>
      </c>
      <c r="I68">
        <v>100</v>
      </c>
      <c r="J68">
        <v>100</v>
      </c>
      <c r="K68">
        <v>100</v>
      </c>
      <c r="L68">
        <v>100</v>
      </c>
      <c r="M68">
        <v>100</v>
      </c>
      <c r="N68">
        <v>100</v>
      </c>
      <c r="O68">
        <v>100</v>
      </c>
      <c r="Q68">
        <f t="shared" si="191"/>
        <v>103</v>
      </c>
      <c r="R68">
        <f t="shared" si="187"/>
        <v>103</v>
      </c>
      <c r="S68">
        <f t="shared" si="187"/>
        <v>103</v>
      </c>
      <c r="T68">
        <f t="shared" si="187"/>
        <v>103</v>
      </c>
      <c r="U68">
        <f t="shared" si="187"/>
        <v>103</v>
      </c>
      <c r="V68">
        <f t="shared" si="187"/>
        <v>103</v>
      </c>
      <c r="W68">
        <f t="shared" si="187"/>
        <v>103</v>
      </c>
      <c r="X68">
        <f t="shared" si="187"/>
        <v>103</v>
      </c>
      <c r="Y68">
        <f t="shared" si="187"/>
        <v>103</v>
      </c>
      <c r="Z68">
        <f t="shared" si="187"/>
        <v>103</v>
      </c>
      <c r="AA68">
        <f t="shared" si="187"/>
        <v>103</v>
      </c>
      <c r="AB68">
        <f t="shared" si="187"/>
        <v>103</v>
      </c>
      <c r="AD68">
        <f t="shared" si="188"/>
        <v>106.09</v>
      </c>
      <c r="AE68">
        <f t="shared" si="189"/>
        <v>106.09</v>
      </c>
      <c r="AF68">
        <f t="shared" si="176"/>
        <v>106.09</v>
      </c>
      <c r="AG68">
        <f t="shared" si="177"/>
        <v>106.09</v>
      </c>
      <c r="AH68">
        <f t="shared" si="178"/>
        <v>106.09</v>
      </c>
      <c r="AI68">
        <f t="shared" si="179"/>
        <v>106.09</v>
      </c>
      <c r="AJ68">
        <f t="shared" si="180"/>
        <v>106.09</v>
      </c>
      <c r="AK68">
        <f t="shared" si="181"/>
        <v>106.09</v>
      </c>
      <c r="AL68">
        <f t="shared" si="182"/>
        <v>106.09</v>
      </c>
      <c r="AM68">
        <f t="shared" si="183"/>
        <v>106.09</v>
      </c>
      <c r="AN68">
        <f t="shared" si="184"/>
        <v>106.09</v>
      </c>
      <c r="AO68">
        <f t="shared" si="185"/>
        <v>106.09</v>
      </c>
    </row>
    <row r="69" spans="2:41" x14ac:dyDescent="0.3">
      <c r="B69" s="4" t="s">
        <v>189</v>
      </c>
      <c r="D69">
        <f>SUM(D17:D25)*100+150</f>
        <v>270</v>
      </c>
      <c r="E69">
        <f t="shared" ref="E69:AO69" si="194">SUM(E17:E25)*100+150</f>
        <v>270</v>
      </c>
      <c r="F69">
        <f t="shared" si="194"/>
        <v>270</v>
      </c>
      <c r="G69">
        <f t="shared" si="194"/>
        <v>270</v>
      </c>
      <c r="H69">
        <f t="shared" si="194"/>
        <v>270</v>
      </c>
      <c r="I69">
        <f t="shared" si="194"/>
        <v>270</v>
      </c>
      <c r="J69">
        <f t="shared" si="194"/>
        <v>570</v>
      </c>
      <c r="K69">
        <f t="shared" si="194"/>
        <v>570</v>
      </c>
      <c r="L69">
        <f t="shared" si="194"/>
        <v>630</v>
      </c>
      <c r="M69">
        <f t="shared" si="194"/>
        <v>630</v>
      </c>
      <c r="N69">
        <f t="shared" si="194"/>
        <v>630</v>
      </c>
      <c r="O69">
        <f t="shared" si="194"/>
        <v>630</v>
      </c>
      <c r="Q69">
        <f t="shared" si="194"/>
        <v>820.00000000000011</v>
      </c>
      <c r="R69">
        <f t="shared" si="194"/>
        <v>820.00000000000011</v>
      </c>
      <c r="S69">
        <f t="shared" si="194"/>
        <v>820.00000000000011</v>
      </c>
      <c r="T69">
        <f t="shared" si="194"/>
        <v>1030</v>
      </c>
      <c r="U69">
        <f t="shared" si="194"/>
        <v>1150.0000000000002</v>
      </c>
      <c r="V69">
        <f t="shared" si="194"/>
        <v>1150.0000000000002</v>
      </c>
      <c r="W69">
        <f t="shared" si="194"/>
        <v>1150.0000000000002</v>
      </c>
      <c r="X69">
        <f t="shared" si="194"/>
        <v>1150.0000000000002</v>
      </c>
      <c r="Y69">
        <f t="shared" si="194"/>
        <v>1170</v>
      </c>
      <c r="Z69">
        <f t="shared" si="194"/>
        <v>1270</v>
      </c>
      <c r="AA69">
        <f t="shared" si="194"/>
        <v>1270</v>
      </c>
      <c r="AB69">
        <f t="shared" si="194"/>
        <v>1270</v>
      </c>
      <c r="AD69">
        <f t="shared" si="194"/>
        <v>1730</v>
      </c>
      <c r="AE69">
        <f t="shared" si="194"/>
        <v>1730</v>
      </c>
      <c r="AF69">
        <f t="shared" si="194"/>
        <v>1730</v>
      </c>
      <c r="AG69">
        <f t="shared" si="194"/>
        <v>1930</v>
      </c>
      <c r="AH69">
        <f t="shared" si="194"/>
        <v>1930</v>
      </c>
      <c r="AI69">
        <f t="shared" si="194"/>
        <v>1930</v>
      </c>
      <c r="AJ69">
        <f t="shared" si="194"/>
        <v>1930</v>
      </c>
      <c r="AK69">
        <f t="shared" si="194"/>
        <v>1930</v>
      </c>
      <c r="AL69">
        <f t="shared" si="194"/>
        <v>1930</v>
      </c>
      <c r="AM69">
        <f t="shared" si="194"/>
        <v>2110</v>
      </c>
      <c r="AN69">
        <f t="shared" si="194"/>
        <v>2110</v>
      </c>
      <c r="AO69">
        <f t="shared" si="194"/>
        <v>2110</v>
      </c>
    </row>
    <row r="70" spans="2:41" x14ac:dyDescent="0.3">
      <c r="B70" s="4" t="s">
        <v>191</v>
      </c>
      <c r="D70">
        <f>0.1*SUM(D62:D69)</f>
        <v>150</v>
      </c>
      <c r="E70">
        <f t="shared" ref="E70:AO70" si="195">0.1*SUM(E62:E69)</f>
        <v>150</v>
      </c>
      <c r="F70">
        <f t="shared" si="195"/>
        <v>150</v>
      </c>
      <c r="G70">
        <f t="shared" si="195"/>
        <v>150</v>
      </c>
      <c r="H70">
        <f t="shared" si="195"/>
        <v>150</v>
      </c>
      <c r="I70">
        <f t="shared" si="195"/>
        <v>150</v>
      </c>
      <c r="J70">
        <f t="shared" si="195"/>
        <v>180</v>
      </c>
      <c r="K70">
        <f t="shared" si="195"/>
        <v>180</v>
      </c>
      <c r="L70">
        <f t="shared" si="195"/>
        <v>186</v>
      </c>
      <c r="M70">
        <f t="shared" si="195"/>
        <v>186</v>
      </c>
      <c r="N70">
        <f t="shared" si="195"/>
        <v>186</v>
      </c>
      <c r="O70">
        <f t="shared" si="195"/>
        <v>186</v>
      </c>
      <c r="Q70">
        <f t="shared" si="195"/>
        <v>235.51500000000001</v>
      </c>
      <c r="R70">
        <f t="shared" si="195"/>
        <v>235.51500000000001</v>
      </c>
      <c r="S70">
        <f t="shared" si="195"/>
        <v>235.51500000000001</v>
      </c>
      <c r="T70">
        <f t="shared" si="195"/>
        <v>256.51499999999999</v>
      </c>
      <c r="U70">
        <f t="shared" si="195"/>
        <v>268.51500000000004</v>
      </c>
      <c r="V70">
        <f t="shared" si="195"/>
        <v>268.51500000000004</v>
      </c>
      <c r="W70">
        <f t="shared" si="195"/>
        <v>268.51500000000004</v>
      </c>
      <c r="X70">
        <f t="shared" si="195"/>
        <v>268.51500000000004</v>
      </c>
      <c r="Y70">
        <f t="shared" si="195"/>
        <v>270.51499999999999</v>
      </c>
      <c r="Z70">
        <f t="shared" si="195"/>
        <v>280.51499999999999</v>
      </c>
      <c r="AA70">
        <f t="shared" si="195"/>
        <v>280.51499999999999</v>
      </c>
      <c r="AB70">
        <f t="shared" si="195"/>
        <v>280.51499999999999</v>
      </c>
      <c r="AD70">
        <f t="shared" si="195"/>
        <v>331.12045000000001</v>
      </c>
      <c r="AE70">
        <f t="shared" si="195"/>
        <v>331.12045000000001</v>
      </c>
      <c r="AF70">
        <f t="shared" si="195"/>
        <v>331.12045000000001</v>
      </c>
      <c r="AG70">
        <f t="shared" si="195"/>
        <v>351.12045000000001</v>
      </c>
      <c r="AH70">
        <f t="shared" si="195"/>
        <v>351.12045000000001</v>
      </c>
      <c r="AI70">
        <f t="shared" si="195"/>
        <v>351.12045000000001</v>
      </c>
      <c r="AJ70">
        <f t="shared" si="195"/>
        <v>351.12045000000001</v>
      </c>
      <c r="AK70">
        <f t="shared" si="195"/>
        <v>351.12045000000001</v>
      </c>
      <c r="AL70">
        <f t="shared" si="195"/>
        <v>351.12045000000001</v>
      </c>
      <c r="AM70">
        <f t="shared" si="195"/>
        <v>369.12045000000001</v>
      </c>
      <c r="AN70">
        <f t="shared" si="195"/>
        <v>369.12045000000001</v>
      </c>
      <c r="AO70">
        <f t="shared" si="195"/>
        <v>369.12045000000001</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0EEA-FBFB-406F-A27F-463CE31D2E0A}">
  <dimension ref="B1:K7"/>
  <sheetViews>
    <sheetView workbookViewId="0">
      <selection activeCell="Q25" sqref="Q25"/>
    </sheetView>
  </sheetViews>
  <sheetFormatPr defaultRowHeight="14.4" x14ac:dyDescent="0.3"/>
  <cols>
    <col min="2" max="2" width="18.21875" customWidth="1"/>
    <col min="3" max="3" width="12.33203125" bestFit="1" customWidth="1"/>
    <col min="4" max="4" width="3.88671875" bestFit="1" customWidth="1"/>
    <col min="5" max="5" width="9" bestFit="1" customWidth="1"/>
    <col min="6" max="6" width="12.21875" bestFit="1" customWidth="1"/>
    <col min="7" max="7" width="12.21875" customWidth="1"/>
    <col min="8" max="8" width="13.44140625" bestFit="1" customWidth="1"/>
    <col min="9" max="9" width="32.44140625" bestFit="1" customWidth="1"/>
    <col min="10" max="10" width="17.21875" customWidth="1"/>
    <col min="11" max="11" width="14.5546875" customWidth="1"/>
  </cols>
  <sheetData>
    <row r="1" spans="2:11" x14ac:dyDescent="0.3">
      <c r="I1" t="s">
        <v>352</v>
      </c>
      <c r="J1" t="s">
        <v>353</v>
      </c>
    </row>
    <row r="2" spans="2:11" x14ac:dyDescent="0.3">
      <c r="B2" t="s">
        <v>347</v>
      </c>
      <c r="C2" t="s">
        <v>348</v>
      </c>
      <c r="D2" t="s">
        <v>136</v>
      </c>
      <c r="E2" t="s">
        <v>349</v>
      </c>
      <c r="F2" t="s">
        <v>122</v>
      </c>
      <c r="G2" t="s">
        <v>366</v>
      </c>
      <c r="H2" t="s">
        <v>350</v>
      </c>
      <c r="I2" t="s">
        <v>351</v>
      </c>
      <c r="J2" t="s">
        <v>354</v>
      </c>
      <c r="K2" t="s">
        <v>356</v>
      </c>
    </row>
    <row r="3" spans="2:11" x14ac:dyDescent="0.3">
      <c r="B3" t="s">
        <v>346</v>
      </c>
      <c r="C3" s="6">
        <v>3700000</v>
      </c>
      <c r="D3">
        <v>13</v>
      </c>
      <c r="E3" s="6">
        <v>4180</v>
      </c>
      <c r="F3" s="6">
        <v>4700</v>
      </c>
      <c r="G3" s="6"/>
      <c r="H3" s="6">
        <f>350+360</f>
        <v>710</v>
      </c>
      <c r="I3" s="6">
        <v>26615</v>
      </c>
      <c r="J3" s="6">
        <f>SUM(E3:H3)</f>
        <v>9590</v>
      </c>
      <c r="K3" t="s">
        <v>357</v>
      </c>
    </row>
    <row r="4" spans="2:11" x14ac:dyDescent="0.3">
      <c r="B4" t="s">
        <v>355</v>
      </c>
      <c r="C4" s="6">
        <v>3200000</v>
      </c>
      <c r="D4">
        <v>25</v>
      </c>
      <c r="E4" s="6">
        <f>5275</f>
        <v>5275</v>
      </c>
      <c r="F4" s="6">
        <v>19722</v>
      </c>
      <c r="G4" s="6"/>
      <c r="H4" s="6">
        <f>521+124</f>
        <v>645</v>
      </c>
      <c r="I4" s="6">
        <f>1750*3+15200</f>
        <v>20450</v>
      </c>
      <c r="J4" s="6">
        <f>SUM(E4:H4)</f>
        <v>25642</v>
      </c>
      <c r="K4" t="s">
        <v>358</v>
      </c>
    </row>
    <row r="5" spans="2:11" x14ac:dyDescent="0.3">
      <c r="B5" t="s">
        <v>359</v>
      </c>
      <c r="C5" s="6">
        <v>3400000</v>
      </c>
      <c r="D5">
        <v>11</v>
      </c>
      <c r="E5" s="6">
        <v>5775</v>
      </c>
      <c r="F5" s="6">
        <f>4000</f>
        <v>4000</v>
      </c>
      <c r="G5" s="6"/>
      <c r="H5" s="6">
        <v>606</v>
      </c>
      <c r="I5" s="6">
        <v>20000</v>
      </c>
      <c r="J5" s="6">
        <f>SUM(E5:H5)</f>
        <v>10381</v>
      </c>
      <c r="K5" t="s">
        <v>357</v>
      </c>
    </row>
    <row r="6" spans="2:11" x14ac:dyDescent="0.3">
      <c r="B6" t="s">
        <v>364</v>
      </c>
      <c r="C6" s="6">
        <v>2100000</v>
      </c>
      <c r="D6">
        <v>19</v>
      </c>
      <c r="E6" s="6">
        <v>3620</v>
      </c>
      <c r="F6" s="6">
        <v>4000</v>
      </c>
      <c r="G6" s="6"/>
      <c r="H6" s="6">
        <f>1125+130+150</f>
        <v>1405</v>
      </c>
      <c r="I6" s="6">
        <v>5000</v>
      </c>
      <c r="J6" s="6">
        <f>SUM(E6:H6)</f>
        <v>9025</v>
      </c>
      <c r="K6" t="s">
        <v>367</v>
      </c>
    </row>
    <row r="7" spans="2:11" x14ac:dyDescent="0.3">
      <c r="B7" t="s">
        <v>365</v>
      </c>
      <c r="C7" s="6">
        <v>2800000</v>
      </c>
      <c r="D7">
        <v>30</v>
      </c>
      <c r="E7" s="6">
        <v>2000</v>
      </c>
      <c r="F7" s="6">
        <v>3000</v>
      </c>
      <c r="G7" s="6">
        <f>3200*1.08*1.2</f>
        <v>4147.2</v>
      </c>
      <c r="H7" s="6">
        <v>1200</v>
      </c>
      <c r="I7" s="6">
        <v>13000</v>
      </c>
      <c r="J7" s="6">
        <f>SUM(E7:H7)</f>
        <v>10347.200000000001</v>
      </c>
      <c r="K7" t="s">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Opzet</vt:lpstr>
      <vt:lpstr>RFF</vt:lpstr>
      <vt:lpstr>Propositie</vt:lpstr>
      <vt:lpstr>Ideale klant</vt:lpstr>
      <vt:lpstr>Pakketten</vt:lpstr>
      <vt:lpstr>OPEX</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Luuk Swinkels</dc:creator>
  <cp:lastModifiedBy>Luuk Swinkels</cp:lastModifiedBy>
  <dcterms:created xsi:type="dcterms:W3CDTF">2026-02-24T08:14:09Z</dcterms:created>
  <dcterms:modified xsi:type="dcterms:W3CDTF">2026-02-27T11:53:03Z</dcterms:modified>
</cp:coreProperties>
</file>